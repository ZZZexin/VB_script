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Century\Data\"/>
    </mc:Choice>
  </mc:AlternateContent>
  <xr:revisionPtr revIDLastSave="0" documentId="13_ncr:1_{6B7DB13D-739D-46A6-83D3-B2F7F57DC1DC}" xr6:coauthVersionLast="47" xr6:coauthVersionMax="47" xr10:uidLastSave="{00000000-0000-0000-0000-000000000000}"/>
  <workbookProtection workbookAlgorithmName="SHA-512" workbookHashValue="XLLHPtpQTBFn3TNYAc0zW0xqJ7kr5HQnul8fLxiH5kdi5Djhql1X21/UQcrsHtEVLvXLNN4/JrMM7necvE7WVg==" workbookSaltValue="icxIwmUAUHfum37tYmo2YQ==" workbookSpinCount="100000" lockStructure="1"/>
  <bookViews>
    <workbookView xWindow="380" yWindow="380" windowWidth="14400" windowHeight="8530" xr2:uid="{88E848E5-1AB7-4135-8267-A792108D6F85}"/>
  </bookViews>
  <sheets>
    <sheet name="Cover Sheet" sheetId="1" r:id="rId1"/>
    <sheet name="Data for Monthly Spreadsheet" sheetId="3" r:id="rId2"/>
    <sheet name="All Details" sheetId="2" state="hidden" r:id="rId3"/>
  </sheets>
  <externalReferences>
    <externalReference r:id="rId4"/>
  </externalReferences>
  <definedNames>
    <definedName name="Activity">[1]names_1!$B$10:$B$17</definedName>
    <definedName name="ActivitySet">[1]names!$A$10:$A$12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0" i="1" l="1"/>
  <c r="AK29" i="1"/>
  <c r="AK28" i="1"/>
  <c r="AK27" i="1"/>
  <c r="AK26" i="1"/>
  <c r="AK25" i="1"/>
  <c r="AK24" i="1"/>
  <c r="AK23" i="1"/>
  <c r="AA38" i="1" s="1"/>
  <c r="AK22" i="1"/>
  <c r="AK21" i="1"/>
  <c r="AK20" i="1"/>
  <c r="AK19" i="1"/>
  <c r="AK18" i="1"/>
  <c r="AK17" i="1"/>
  <c r="AK16" i="1"/>
  <c r="AK15" i="1"/>
  <c r="AK14" i="1"/>
  <c r="AK13" i="1"/>
  <c r="AK12" i="1"/>
  <c r="AK11" i="1"/>
  <c r="AA35" i="1" s="1"/>
  <c r="AK10" i="1"/>
  <c r="AA36" i="1" s="1"/>
  <c r="AK9" i="1"/>
  <c r="AK8" i="1"/>
  <c r="AI10" i="3"/>
  <c r="AH10" i="3"/>
  <c r="W10" i="3"/>
  <c r="U10" i="3"/>
  <c r="Q10" i="3"/>
  <c r="M10" i="3"/>
  <c r="G10" i="3"/>
  <c r="F10" i="3"/>
  <c r="D10" i="3"/>
  <c r="Y4" i="3"/>
  <c r="V4" i="3"/>
  <c r="U4" i="3"/>
  <c r="Q4" i="3"/>
  <c r="P4" i="3"/>
  <c r="M4" i="3"/>
  <c r="H4" i="3"/>
  <c r="G4" i="3"/>
  <c r="F4" i="3"/>
  <c r="D4" i="3"/>
  <c r="UD2" i="2"/>
  <c r="UC2" i="2"/>
  <c r="UB2" i="2"/>
  <c r="UA2" i="2"/>
  <c r="TZ2" i="2"/>
  <c r="TY2" i="2"/>
  <c r="TX2" i="2"/>
  <c r="TW2" i="2"/>
  <c r="TV2" i="2"/>
  <c r="TU2" i="2"/>
  <c r="TT2" i="2"/>
  <c r="TS2" i="2"/>
  <c r="TR2" i="2"/>
  <c r="TQ2" i="2"/>
  <c r="TP2" i="2"/>
  <c r="TO2" i="2"/>
  <c r="TN2" i="2"/>
  <c r="TM2" i="2"/>
  <c r="TL2" i="2"/>
  <c r="TK2" i="2"/>
  <c r="TJ2" i="2"/>
  <c r="TI2" i="2"/>
  <c r="TH2" i="2"/>
  <c r="TG2" i="2"/>
  <c r="TF2" i="2"/>
  <c r="TE2" i="2"/>
  <c r="TD2" i="2"/>
  <c r="TC2" i="2"/>
  <c r="TB2" i="2"/>
  <c r="TA2" i="2"/>
  <c r="SL2" i="2"/>
  <c r="SK2" i="2"/>
  <c r="SJ2" i="2"/>
  <c r="SI2" i="2"/>
  <c r="SH2" i="2"/>
  <c r="SG2" i="2"/>
  <c r="SF2" i="2"/>
  <c r="SE2" i="2"/>
  <c r="SD2" i="2"/>
  <c r="SC2" i="2"/>
  <c r="SB2" i="2"/>
  <c r="SA2" i="2"/>
  <c r="RY2" i="2"/>
  <c r="RX2" i="2"/>
  <c r="RW2" i="2"/>
  <c r="RV2" i="2"/>
  <c r="RU2" i="2"/>
  <c r="RT2" i="2"/>
  <c r="RS2" i="2"/>
  <c r="RR2" i="2"/>
  <c r="RQ2" i="2"/>
  <c r="RP2" i="2"/>
  <c r="RO2" i="2"/>
  <c r="RN2" i="2"/>
  <c r="RL2" i="2"/>
  <c r="RK2" i="2"/>
  <c r="RJ2" i="2"/>
  <c r="RI2" i="2"/>
  <c r="RH2" i="2"/>
  <c r="RG2" i="2"/>
  <c r="RF2" i="2"/>
  <c r="RE2" i="2"/>
  <c r="RD2" i="2"/>
  <c r="RC2" i="2"/>
  <c r="RB2" i="2"/>
  <c r="RA2" i="2"/>
  <c r="QY2" i="2"/>
  <c r="QX2" i="2"/>
  <c r="QW2" i="2"/>
  <c r="QV2" i="2"/>
  <c r="QU2" i="2"/>
  <c r="QT2" i="2"/>
  <c r="QS2" i="2"/>
  <c r="QR2" i="2"/>
  <c r="QQ2" i="2"/>
  <c r="QP2" i="2"/>
  <c r="QO2" i="2"/>
  <c r="QN2" i="2"/>
  <c r="QL2" i="2"/>
  <c r="QK2" i="2"/>
  <c r="QJ2" i="2"/>
  <c r="QI2" i="2"/>
  <c r="QH2" i="2"/>
  <c r="QG2" i="2"/>
  <c r="QF2" i="2"/>
  <c r="QE2" i="2"/>
  <c r="QD2" i="2"/>
  <c r="QC2" i="2"/>
  <c r="QB2" i="2"/>
  <c r="QA2" i="2"/>
  <c r="PY2" i="2"/>
  <c r="PX2" i="2"/>
  <c r="PW2" i="2"/>
  <c r="PV2" i="2"/>
  <c r="PU2" i="2"/>
  <c r="PT2" i="2"/>
  <c r="PS2" i="2"/>
  <c r="PR2" i="2"/>
  <c r="PQ2" i="2"/>
  <c r="PP2" i="2"/>
  <c r="PO2" i="2"/>
  <c r="PN2" i="2"/>
  <c r="PL2" i="2"/>
  <c r="PK2" i="2"/>
  <c r="PJ2" i="2"/>
  <c r="PI2" i="2"/>
  <c r="PH2" i="2"/>
  <c r="PG2" i="2"/>
  <c r="PF2" i="2"/>
  <c r="PE2" i="2"/>
  <c r="PD2" i="2"/>
  <c r="PC2" i="2"/>
  <c r="PB2" i="2"/>
  <c r="PA2" i="2"/>
  <c r="OY2" i="2"/>
  <c r="OX2" i="2"/>
  <c r="OW2" i="2"/>
  <c r="OV2" i="2"/>
  <c r="OU2" i="2"/>
  <c r="OT2" i="2"/>
  <c r="OS2" i="2"/>
  <c r="OR2" i="2"/>
  <c r="OQ2" i="2"/>
  <c r="OP2" i="2"/>
  <c r="OO2" i="2"/>
  <c r="ON2" i="2"/>
  <c r="OL2" i="2"/>
  <c r="OK2" i="2"/>
  <c r="OJ2" i="2"/>
  <c r="OI2" i="2"/>
  <c r="OH2" i="2"/>
  <c r="OG2" i="2"/>
  <c r="OF2" i="2"/>
  <c r="OE2" i="2"/>
  <c r="OD2" i="2"/>
  <c r="OC2" i="2"/>
  <c r="OB2" i="2"/>
  <c r="OA2" i="2"/>
  <c r="NY2" i="2"/>
  <c r="NX2" i="2"/>
  <c r="DW2" i="2" s="1"/>
  <c r="H10" i="3" s="1"/>
  <c r="NW2" i="2"/>
  <c r="NV2" i="2"/>
  <c r="NU2" i="2"/>
  <c r="NT2" i="2"/>
  <c r="NS2" i="2"/>
  <c r="NR2" i="2"/>
  <c r="NQ2" i="2"/>
  <c r="NP2" i="2"/>
  <c r="NO2" i="2"/>
  <c r="NN2" i="2"/>
  <c r="AQ10" i="3" s="1"/>
  <c r="NL2" i="2"/>
  <c r="NK2" i="2"/>
  <c r="NJ2" i="2"/>
  <c r="NI2" i="2"/>
  <c r="NH2" i="2"/>
  <c r="NG2" i="2"/>
  <c r="NF2" i="2"/>
  <c r="NE2" i="2"/>
  <c r="ND2" i="2"/>
  <c r="NC2" i="2"/>
  <c r="NB2" i="2"/>
  <c r="NA2" i="2"/>
  <c r="MY2" i="2"/>
  <c r="MX2" i="2"/>
  <c r="MW2" i="2"/>
  <c r="MV2" i="2"/>
  <c r="MU2" i="2"/>
  <c r="MT2" i="2"/>
  <c r="MS2" i="2"/>
  <c r="O10" i="3" s="1"/>
  <c r="MR2" i="2"/>
  <c r="N10" i="3" s="1"/>
  <c r="MQ2" i="2"/>
  <c r="R10" i="3" s="1"/>
  <c r="MP2" i="2"/>
  <c r="MO2" i="2"/>
  <c r="MN2" i="2"/>
  <c r="ML2" i="2"/>
  <c r="MK2" i="2"/>
  <c r="MJ2" i="2"/>
  <c r="MI2" i="2"/>
  <c r="MH2" i="2"/>
  <c r="MG2" i="2"/>
  <c r="MF2" i="2"/>
  <c r="ME2" i="2"/>
  <c r="DY2" i="2" s="1"/>
  <c r="AJ10" i="3" s="1"/>
  <c r="MD2" i="2"/>
  <c r="MC2" i="2"/>
  <c r="MB2" i="2"/>
  <c r="MA2" i="2"/>
  <c r="LY2" i="2"/>
  <c r="LX2" i="2"/>
  <c r="AC10" i="3" s="1"/>
  <c r="LW2" i="2"/>
  <c r="LV2" i="2"/>
  <c r="LU2" i="2"/>
  <c r="LT2" i="2"/>
  <c r="LS2" i="2"/>
  <c r="AD10" i="3" s="1"/>
  <c r="LR2" i="2"/>
  <c r="AB10" i="3" s="1"/>
  <c r="LQ2" i="2"/>
  <c r="LP2" i="2"/>
  <c r="LO2" i="2"/>
  <c r="LN2" i="2"/>
  <c r="LL2" i="2"/>
  <c r="LK2" i="2"/>
  <c r="AF10" i="3" s="1"/>
  <c r="LJ2" i="2"/>
  <c r="SW2" i="2" s="1"/>
  <c r="LI2" i="2"/>
  <c r="LH2" i="2"/>
  <c r="SU2" i="2" s="1"/>
  <c r="LG2" i="2"/>
  <c r="LF2" i="2"/>
  <c r="SS2" i="2" s="1"/>
  <c r="LE2" i="2"/>
  <c r="AE10" i="3" s="1"/>
  <c r="LD2" i="2"/>
  <c r="SQ2" i="2" s="1"/>
  <c r="LC2" i="2"/>
  <c r="SP2" i="2" s="1"/>
  <c r="LB2" i="2"/>
  <c r="SO2" i="2" s="1"/>
  <c r="LA2" i="2"/>
  <c r="SN2" i="2" s="1"/>
  <c r="KY2" i="2"/>
  <c r="KX2" i="2"/>
  <c r="T10" i="3" s="1"/>
  <c r="KW2" i="2"/>
  <c r="KV2" i="2"/>
  <c r="KU2" i="2"/>
  <c r="KT2" i="2"/>
  <c r="KS2" i="2"/>
  <c r="DS2" i="2" s="1"/>
  <c r="KR2" i="2"/>
  <c r="L4" i="3" s="1"/>
  <c r="KQ2" i="2"/>
  <c r="KP2" i="2"/>
  <c r="KO2" i="2"/>
  <c r="KN2" i="2"/>
  <c r="KL2" i="2"/>
  <c r="KK2" i="2"/>
  <c r="X10" i="3" s="1"/>
  <c r="KJ2" i="2"/>
  <c r="KI2" i="2"/>
  <c r="KH2" i="2"/>
  <c r="KG2" i="2"/>
  <c r="KF2" i="2"/>
  <c r="KE2" i="2"/>
  <c r="KD2" i="2"/>
  <c r="KC2" i="2"/>
  <c r="KB2" i="2"/>
  <c r="KA2" i="2"/>
  <c r="JY2" i="2"/>
  <c r="JX2" i="2"/>
  <c r="JW2" i="2"/>
  <c r="JV2" i="2"/>
  <c r="JU2" i="2"/>
  <c r="JT2" i="2"/>
  <c r="JS2" i="2"/>
  <c r="JR2" i="2"/>
  <c r="JQ2" i="2"/>
  <c r="JP2" i="2"/>
  <c r="JO2" i="2"/>
  <c r="JN2" i="2"/>
  <c r="JL2" i="2"/>
  <c r="JK2" i="2"/>
  <c r="JJ2" i="2"/>
  <c r="JI2" i="2"/>
  <c r="JH2" i="2"/>
  <c r="JG2" i="2"/>
  <c r="JF2" i="2"/>
  <c r="JE2" i="2"/>
  <c r="JD2" i="2"/>
  <c r="JC2" i="2"/>
  <c r="JB2" i="2"/>
  <c r="JA2" i="2"/>
  <c r="IY2" i="2"/>
  <c r="IX2" i="2"/>
  <c r="IW2" i="2"/>
  <c r="IV2" i="2"/>
  <c r="IU2" i="2"/>
  <c r="IT2" i="2"/>
  <c r="IS2" i="2"/>
  <c r="IR2" i="2"/>
  <c r="IQ2" i="2"/>
  <c r="IP2" i="2"/>
  <c r="IO2" i="2"/>
  <c r="IN2" i="2"/>
  <c r="IL2" i="2"/>
  <c r="IK2" i="2"/>
  <c r="V10" i="3" s="1"/>
  <c r="IJ2" i="2"/>
  <c r="II2" i="2"/>
  <c r="IH2" i="2"/>
  <c r="IG2" i="2"/>
  <c r="IF2" i="2"/>
  <c r="IE2" i="2"/>
  <c r="ID2" i="2"/>
  <c r="IC2" i="2"/>
  <c r="IB2" i="2"/>
  <c r="AP10" i="3" s="1"/>
  <c r="IA2" i="2"/>
  <c r="AO10" i="3" s="1"/>
  <c r="HY2" i="2"/>
  <c r="HX2" i="2"/>
  <c r="BK2" i="2" s="1"/>
  <c r="HW2" i="2"/>
  <c r="HV2" i="2"/>
  <c r="HU2" i="2"/>
  <c r="HT2" i="2"/>
  <c r="HS2" i="2"/>
  <c r="HR2" i="2"/>
  <c r="HQ2" i="2"/>
  <c r="HP2" i="2"/>
  <c r="HO2" i="2"/>
  <c r="HN2" i="2"/>
  <c r="HL2" i="2"/>
  <c r="HK2" i="2"/>
  <c r="HJ2" i="2"/>
  <c r="BJ2" i="2" s="1"/>
  <c r="HI2" i="2"/>
  <c r="HH2" i="2"/>
  <c r="HG2" i="2"/>
  <c r="HF2" i="2"/>
  <c r="HE2" i="2"/>
  <c r="BM2" i="2" s="1"/>
  <c r="HD2" i="2"/>
  <c r="HC2" i="2"/>
  <c r="HB2" i="2"/>
  <c r="HA2" i="2"/>
  <c r="GZ2" i="2"/>
  <c r="GY2" i="2"/>
  <c r="GX2" i="2"/>
  <c r="GW2" i="2"/>
  <c r="GV2" i="2"/>
  <c r="GM2" i="2"/>
  <c r="GL2" i="2"/>
  <c r="GK2" i="2"/>
  <c r="GJ2" i="2"/>
  <c r="GI2" i="2"/>
  <c r="GH2" i="2"/>
  <c r="GG2" i="2"/>
  <c r="GF2" i="2"/>
  <c r="GE2" i="2"/>
  <c r="GD2" i="2"/>
  <c r="GC2" i="2"/>
  <c r="GB2" i="2"/>
  <c r="GA2" i="2"/>
  <c r="FZ2" i="2"/>
  <c r="FY2" i="2"/>
  <c r="FX2" i="2"/>
  <c r="FW2" i="2"/>
  <c r="FV2" i="2"/>
  <c r="FU2" i="2"/>
  <c r="FT2" i="2"/>
  <c r="FS2" i="2"/>
  <c r="FR2" i="2"/>
  <c r="FQ2" i="2"/>
  <c r="FP2" i="2"/>
  <c r="FO2" i="2"/>
  <c r="FN2" i="2"/>
  <c r="FM2" i="2"/>
  <c r="FL2" i="2"/>
  <c r="FK2" i="2"/>
  <c r="FH2" i="2"/>
  <c r="FG2" i="2"/>
  <c r="FF2" i="2"/>
  <c r="FE2" i="2"/>
  <c r="FD2" i="2"/>
  <c r="FC2" i="2"/>
  <c r="FB2" i="2"/>
  <c r="FA2" i="2"/>
  <c r="EZ2" i="2"/>
  <c r="EY2" i="2"/>
  <c r="EX2" i="2"/>
  <c r="EW2" i="2"/>
  <c r="EV2" i="2"/>
  <c r="EU2" i="2"/>
  <c r="ET2" i="2"/>
  <c r="ES2" i="2"/>
  <c r="ER2" i="2"/>
  <c r="EQ2" i="2"/>
  <c r="EP2" i="2"/>
  <c r="EO2" i="2"/>
  <c r="EN2" i="2"/>
  <c r="EM2" i="2"/>
  <c r="EL2" i="2"/>
  <c r="EK2" i="2"/>
  <c r="EJ2" i="2"/>
  <c r="EI2" i="2"/>
  <c r="EH2" i="2"/>
  <c r="EG2" i="2"/>
  <c r="EF2" i="2"/>
  <c r="EE2" i="2"/>
  <c r="ED2" i="2"/>
  <c r="EC2" i="2"/>
  <c r="EB2" i="2"/>
  <c r="EA2" i="2"/>
  <c r="DX2" i="2"/>
  <c r="DP2" i="2"/>
  <c r="DO2" i="2"/>
  <c r="DN2" i="2"/>
  <c r="DL2" i="2"/>
  <c r="AL10" i="3" s="1"/>
  <c r="DK2" i="2"/>
  <c r="DJ2" i="2"/>
  <c r="DI2" i="2"/>
  <c r="DG2" i="2"/>
  <c r="DF2" i="2"/>
  <c r="DE2" i="2"/>
  <c r="DD2" i="2"/>
  <c r="DC2" i="2"/>
  <c r="DB2" i="2"/>
  <c r="DA2" i="2"/>
  <c r="CZ2" i="2"/>
  <c r="CY2" i="2"/>
  <c r="CV2" i="2"/>
  <c r="CU2" i="2"/>
  <c r="CT2" i="2"/>
  <c r="CS2" i="2"/>
  <c r="CR2" i="2"/>
  <c r="CQ2" i="2"/>
  <c r="CP2" i="2"/>
  <c r="CO2" i="2"/>
  <c r="CN2" i="2"/>
  <c r="CM2" i="2"/>
  <c r="CL2" i="2"/>
  <c r="CK2" i="2"/>
  <c r="CJ2" i="2"/>
  <c r="CI2" i="2"/>
  <c r="CH2" i="2"/>
  <c r="CG2" i="2"/>
  <c r="CF2" i="2"/>
  <c r="CE2" i="2"/>
  <c r="CD2" i="2"/>
  <c r="CC2" i="2"/>
  <c r="CB2" i="2"/>
  <c r="CA2" i="2"/>
  <c r="BZ2" i="2"/>
  <c r="BY2" i="2"/>
  <c r="BX2" i="2"/>
  <c r="BW2" i="2"/>
  <c r="BV2" i="2"/>
  <c r="BU2" i="2"/>
  <c r="BT2" i="2"/>
  <c r="BS2" i="2"/>
  <c r="BR2" i="2"/>
  <c r="BQ2" i="2"/>
  <c r="BP2" i="2"/>
  <c r="BO2" i="2"/>
  <c r="BN2" i="2"/>
  <c r="BH2" i="2"/>
  <c r="BG2" i="2"/>
  <c r="BF2" i="2"/>
  <c r="BE2" i="2"/>
  <c r="BD2" i="2"/>
  <c r="BC2" i="2"/>
  <c r="BB2" i="2"/>
  <c r="BA2" i="2"/>
  <c r="AZ2" i="2"/>
  <c r="AY2" i="2"/>
  <c r="AX2" i="2"/>
  <c r="AW2" i="2"/>
  <c r="AV2" i="2"/>
  <c r="AU2" i="2"/>
  <c r="AT2" i="2"/>
  <c r="AS2" i="2"/>
  <c r="AR2" i="2"/>
  <c r="AQ2" i="2"/>
  <c r="X4" i="3" s="1"/>
  <c r="AP2" i="2"/>
  <c r="W4" i="3" s="1"/>
  <c r="AO2" i="2"/>
  <c r="AN2" i="2"/>
  <c r="AM10" i="3" s="1"/>
  <c r="AM2" i="2"/>
  <c r="AL2" i="2"/>
  <c r="AK2" i="2"/>
  <c r="AJ2" i="2"/>
  <c r="AI2" i="2"/>
  <c r="AH2" i="2"/>
  <c r="AG2" i="2"/>
  <c r="AF2" i="2"/>
  <c r="AE2" i="2"/>
  <c r="AD2" i="2"/>
  <c r="AC2" i="2"/>
  <c r="AB2" i="2"/>
  <c r="E10" i="3" s="1"/>
  <c r="AA2" i="2"/>
  <c r="Z2" i="2"/>
  <c r="Y2" i="2"/>
  <c r="X2" i="2"/>
  <c r="W2" i="2"/>
  <c r="V2" i="2"/>
  <c r="U2" i="2"/>
  <c r="C10" i="3" s="1"/>
  <c r="T2" i="2"/>
  <c r="S2" i="2"/>
  <c r="R2" i="2"/>
  <c r="Q2" i="2"/>
  <c r="P2" i="2"/>
  <c r="O2" i="2"/>
  <c r="N2" i="2"/>
  <c r="M2" i="2"/>
  <c r="L2" i="2"/>
  <c r="T4" i="3" s="1"/>
  <c r="I2" i="2"/>
  <c r="H2" i="2"/>
  <c r="G2" i="2"/>
  <c r="F2" i="2"/>
  <c r="E2" i="2"/>
  <c r="B10" i="3" s="1"/>
  <c r="D2" i="2"/>
  <c r="C2" i="2"/>
  <c r="B2" i="2"/>
  <c r="A2" i="2"/>
  <c r="A10" i="3" s="1"/>
  <c r="DT2" i="2"/>
  <c r="DU2" i="2" s="1"/>
  <c r="L10" i="3" s="1"/>
  <c r="ST2" i="2"/>
  <c r="SR2" i="2"/>
  <c r="DV2" i="2"/>
  <c r="J2" i="2" s="1"/>
  <c r="BL2" i="2"/>
  <c r="DQ2" i="2"/>
  <c r="DR2" i="2" s="1"/>
  <c r="J10" i="3" s="1"/>
  <c r="AM78" i="1"/>
  <c r="AM77" i="1"/>
  <c r="AM76" i="1"/>
  <c r="AM75" i="1"/>
  <c r="AM74" i="1"/>
  <c r="AM73" i="1"/>
  <c r="AM72" i="1"/>
  <c r="AM71" i="1"/>
  <c r="AN70" i="1"/>
  <c r="AM70" i="1"/>
  <c r="AL70" i="1"/>
  <c r="AK70" i="1"/>
  <c r="AN69" i="1"/>
  <c r="AM69" i="1"/>
  <c r="AL69" i="1"/>
  <c r="AK69" i="1"/>
  <c r="AN68" i="1"/>
  <c r="AM68" i="1"/>
  <c r="AL68" i="1"/>
  <c r="AK68" i="1"/>
  <c r="AN67" i="1"/>
  <c r="AM67" i="1"/>
  <c r="AL67" i="1"/>
  <c r="AK67" i="1"/>
  <c r="AN66" i="1"/>
  <c r="AL66" i="1"/>
  <c r="AK66" i="1"/>
  <c r="AN65" i="1"/>
  <c r="AL65" i="1"/>
  <c r="AK65" i="1"/>
  <c r="AN64" i="1"/>
  <c r="AL64" i="1"/>
  <c r="AK64" i="1"/>
  <c r="AN63" i="1"/>
  <c r="AL63" i="1"/>
  <c r="AK63" i="1"/>
  <c r="AN62" i="1"/>
  <c r="AL62" i="1"/>
  <c r="AK62" i="1"/>
  <c r="AN61" i="1"/>
  <c r="AL61" i="1"/>
  <c r="AK61" i="1"/>
  <c r="AN60" i="1"/>
  <c r="AL60" i="1"/>
  <c r="AK60" i="1"/>
  <c r="AN59" i="1"/>
  <c r="AL59" i="1"/>
  <c r="AK59" i="1"/>
  <c r="AA54" i="1"/>
  <c r="J54" i="1"/>
  <c r="I54" i="1"/>
  <c r="L54" i="1" s="1"/>
  <c r="AA53" i="1"/>
  <c r="J53" i="1"/>
  <c r="I53" i="1"/>
  <c r="K53" i="1" s="1"/>
  <c r="W48" i="1"/>
  <c r="Y48" i="1" s="1"/>
  <c r="AA44" i="1"/>
  <c r="Y44" i="1"/>
  <c r="S44" i="1"/>
  <c r="I44" i="1"/>
  <c r="D44" i="1"/>
  <c r="C44" i="1"/>
  <c r="AA43" i="1"/>
  <c r="Y43" i="1"/>
  <c r="S43" i="1"/>
  <c r="I43" i="1"/>
  <c r="D43" i="1"/>
  <c r="C43" i="1"/>
  <c r="AA42" i="1"/>
  <c r="Y42" i="1"/>
  <c r="S42" i="1"/>
  <c r="I42" i="1"/>
  <c r="D42" i="1"/>
  <c r="C42" i="1"/>
  <c r="AA41" i="1"/>
  <c r="Y41" i="1"/>
  <c r="S41" i="1"/>
  <c r="I41" i="1"/>
  <c r="D41" i="1"/>
  <c r="C41" i="1"/>
  <c r="AA40" i="1"/>
  <c r="Y40" i="1"/>
  <c r="S40" i="1"/>
  <c r="I40" i="1"/>
  <c r="D40" i="1"/>
  <c r="C40" i="1"/>
  <c r="AA39" i="1"/>
  <c r="Y39" i="1"/>
  <c r="S39" i="1"/>
  <c r="I39" i="1"/>
  <c r="D39" i="1"/>
  <c r="C39" i="1"/>
  <c r="Y38" i="1"/>
  <c r="S38" i="1"/>
  <c r="I38" i="1"/>
  <c r="D38" i="1"/>
  <c r="C38" i="1"/>
  <c r="AA37" i="1"/>
  <c r="Y37" i="1"/>
  <c r="S37" i="1"/>
  <c r="I37" i="1"/>
  <c r="D37" i="1"/>
  <c r="C37" i="1"/>
  <c r="Y36" i="1"/>
  <c r="S36" i="1"/>
  <c r="I36" i="1"/>
  <c r="D36" i="1"/>
  <c r="C36" i="1"/>
  <c r="Y35" i="1"/>
  <c r="S35" i="1"/>
  <c r="I35" i="1"/>
  <c r="D35" i="1"/>
  <c r="C35" i="1"/>
  <c r="Y34" i="1"/>
  <c r="S34" i="1"/>
  <c r="I34" i="1"/>
  <c r="D34" i="1"/>
  <c r="C34" i="1"/>
  <c r="F22" i="1"/>
  <c r="BI18" i="1"/>
  <c r="BI19" i="1" s="1"/>
  <c r="N17" i="1"/>
  <c r="N18" i="1" s="1"/>
  <c r="N16" i="1"/>
  <c r="BI15" i="1"/>
  <c r="BI16" i="1" s="1"/>
  <c r="BJ13" i="1"/>
  <c r="BJ15" i="1" s="1"/>
  <c r="BI13" i="1"/>
  <c r="BJ11" i="1"/>
  <c r="BI9" i="1"/>
  <c r="BI8" i="1"/>
  <c r="BI7" i="1"/>
  <c r="AK7" i="1"/>
  <c r="AA34" i="1" s="1"/>
  <c r="BI6" i="1"/>
  <c r="BI5" i="1"/>
  <c r="D5" i="1"/>
  <c r="D4" i="1"/>
  <c r="BJ3" i="1"/>
  <c r="BJ7" i="1" s="1"/>
  <c r="BI3" i="1"/>
  <c r="H3" i="1"/>
  <c r="SV2" i="2" l="1"/>
  <c r="SX2" i="2"/>
  <c r="SY2" i="2"/>
  <c r="AG10" i="3"/>
  <c r="K2" i="2"/>
  <c r="N4" i="3"/>
  <c r="Y10" i="3"/>
  <c r="C4" i="3"/>
  <c r="DZ2" i="2"/>
  <c r="FJ2" i="2"/>
  <c r="R4" i="3" s="1"/>
  <c r="E4" i="3"/>
  <c r="S10" i="3"/>
  <c r="J4" i="3"/>
  <c r="AK10" i="3"/>
  <c r="AA10" i="3"/>
  <c r="A4" i="3"/>
  <c r="B4" i="3"/>
  <c r="O4" i="3"/>
  <c r="FI2" i="2"/>
  <c r="S4" i="3" s="1"/>
  <c r="BJ16" i="1"/>
  <c r="BJ18" i="1"/>
  <c r="BJ19" i="1" s="1"/>
  <c r="BJ9" i="1"/>
  <c r="K54" i="1"/>
  <c r="L53" i="1"/>
  <c r="BJ8" i="1"/>
  <c r="BJ5" i="1"/>
  <c r="BJ6" i="1"/>
  <c r="I4" i="3" l="1"/>
  <c r="I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Eade</author>
  </authors>
  <commentList>
    <comment ref="J6" authorId="0" shapeId="0" xr:uid="{BB8CB90C-5884-429D-9239-9750C537B6D3}">
      <text>
        <r>
          <rPr>
            <b/>
            <sz val="9"/>
            <color indexed="81"/>
            <rFont val="Tahoma"/>
            <family val="2"/>
          </rPr>
          <t>"NS"</t>
        </r>
        <r>
          <rPr>
            <sz val="9"/>
            <color indexed="81"/>
            <rFont val="Tahoma"/>
            <family val="2"/>
          </rPr>
          <t xml:space="preserve">
If the hole was planned to be logged by the client and for whatever reason it was impossible to log this box is set to "NS" to indicate that No Surveys were possible.
Exported well reports will get a "_NS" suffix.
</t>
        </r>
        <r>
          <rPr>
            <b/>
            <sz val="9"/>
            <color indexed="81"/>
            <rFont val="Tahoma"/>
            <family val="2"/>
          </rPr>
          <t>"NO"</t>
        </r>
        <r>
          <rPr>
            <sz val="9"/>
            <color indexed="81"/>
            <rFont val="Tahoma"/>
            <family val="2"/>
          </rPr>
          <t xml:space="preserve">
If logging has begun on the hole but not reached the point at which you have collected all the data to create a LAS file the hole is considered to be in an incomplete state. This is with regard to the state of the "LAS logging" or the standard suite of tools usually run that are combined to create the LAS file. At this stage this box remains set to "NO" 
Exported well reports will get a "_I" suffix.
</t>
        </r>
        <r>
          <rPr>
            <b/>
            <sz val="9"/>
            <color indexed="81"/>
            <rFont val="Tahoma"/>
            <family val="2"/>
          </rPr>
          <t>"Yes"</t>
        </r>
        <r>
          <rPr>
            <sz val="9"/>
            <color indexed="81"/>
            <rFont val="Tahoma"/>
            <family val="2"/>
          </rPr>
          <t xml:space="preserve">
Once the logging required to generate a LAS file has been completed you can set this field to "Yes". This is the stage whereby you will need to export the "_C" Well Report that is sent to DPC with the LAS file. 
Exported well reports will get a "_C" suffix
note - if multiple logging units are used to acquire data on a hole the filename should automatically add the suffix "_m" as well, e.g. "_C_m"
Obviously there will be exceptions and grey area. Use your best judgement.
If you can think of a better system send me a detailed explanation at the DPC email!</t>
        </r>
      </text>
    </comment>
    <comment ref="N6" authorId="0" shapeId="0" xr:uid="{1783BBFF-C07C-42A2-AB29-0D02E3137E1E}">
      <text>
        <r>
          <rPr>
            <b/>
            <sz val="9"/>
            <color indexed="81"/>
            <rFont val="Tahoma"/>
            <family val="2"/>
          </rPr>
          <t>DEFAULT VALUE IS "No"
YOU CAN ONLY CHANGE THIS WHEN "Las Logging Complete" IS SET TO "YES"</t>
        </r>
        <r>
          <rPr>
            <sz val="9"/>
            <color indexed="81"/>
            <rFont val="Tahoma"/>
            <family val="2"/>
          </rPr>
          <t xml:space="preserve">
Sometimes additional surveys may be run after completeing the LAS file logging and sending in the "_C" well report. (e.g. Televiewer is collected after you have sent a LAS and "_C" Well report to DPC)
</t>
        </r>
        <r>
          <rPr>
            <b/>
            <sz val="9"/>
            <color indexed="81"/>
            <rFont val="Tahoma"/>
            <family val="2"/>
          </rPr>
          <t>"YES"</t>
        </r>
        <r>
          <rPr>
            <sz val="9"/>
            <color indexed="81"/>
            <rFont val="Tahoma"/>
            <family val="2"/>
          </rPr>
          <t xml:space="preserve">
If these additional surveys are conducted and you have already submitted a version of the well report then you can change this field to "YES". This will indicate to DPC that since the last wellreport that was submitted, additional logs have been surveyed. When you then export the Well Report the filename Suffix will be changed to indicate there are additional logs by adding a "_A" 
e.g. "_C_A"
</t>
        </r>
        <r>
          <rPr>
            <b/>
            <sz val="9"/>
            <color indexed="81"/>
            <rFont val="Tahoma"/>
            <family val="2"/>
          </rPr>
          <t>"NO"</t>
        </r>
        <r>
          <rPr>
            <sz val="9"/>
            <color indexed="81"/>
            <rFont val="Tahoma"/>
            <family val="2"/>
          </rPr>
          <t xml:space="preserve">
If the field is left at "NO" then no change will be made to the filename suffix.
note - if multiple logging units are used to acquire data on a hole the filename should automatically add the suffix "_m" as well, e.g. "_C_A_m"</t>
        </r>
      </text>
    </comment>
  </commentList>
</comments>
</file>

<file path=xl/sharedStrings.xml><?xml version="1.0" encoding="utf-8"?>
<sst xmlns="http://schemas.openxmlformats.org/spreadsheetml/2006/main" count="1806" uniqueCount="1446">
  <si>
    <t>v3.07V</t>
  </si>
  <si>
    <t>WELL REPORT</t>
  </si>
  <si>
    <t>DO NOT ADD</t>
  </si>
  <si>
    <t>DO NOT</t>
  </si>
  <si>
    <t>Corey! You can only add things to the lists in light green</t>
  </si>
  <si>
    <t>WSG</t>
  </si>
  <si>
    <t>WIRELINE SERVICES GROUP</t>
  </si>
  <si>
    <t>ANYthing else to this list!!!</t>
  </si>
  <si>
    <t>ANY TOOLS!!!</t>
  </si>
  <si>
    <t>EDIT</t>
  </si>
  <si>
    <t>But for the love of DPC just ask us to change things :)</t>
  </si>
  <si>
    <t>This list is auto generated by copying the VC sheet</t>
  </si>
  <si>
    <t>Don’t touch or rusty will be mad</t>
  </si>
  <si>
    <t>DPC_Project</t>
  </si>
  <si>
    <t>RTIO BROCKMAN</t>
  </si>
  <si>
    <t>u will break DPC</t>
  </si>
  <si>
    <t>Client</t>
  </si>
  <si>
    <t>Job Number</t>
  </si>
  <si>
    <t>P5042</t>
  </si>
  <si>
    <t>Acquisition Interval (cm)</t>
  </si>
  <si>
    <t>Safety - Service - Integrity - Excellence</t>
  </si>
  <si>
    <t>Measure Point</t>
  </si>
  <si>
    <t>Run</t>
  </si>
  <si>
    <t>Planned Dip</t>
  </si>
  <si>
    <t>Yes/No/NS</t>
  </si>
  <si>
    <t>Drill Type</t>
  </si>
  <si>
    <t>Tool Type</t>
  </si>
  <si>
    <t>Depth corr</t>
  </si>
  <si>
    <t>DATUM</t>
  </si>
  <si>
    <t>Source list</t>
  </si>
  <si>
    <t>MUD TYPE</t>
  </si>
  <si>
    <t>Units</t>
  </si>
  <si>
    <t>AMG Zones</t>
  </si>
  <si>
    <t>Scale List</t>
  </si>
  <si>
    <t>STATE</t>
  </si>
  <si>
    <t>Client List</t>
  </si>
  <si>
    <t>RTIOHub</t>
  </si>
  <si>
    <t>Country</t>
  </si>
  <si>
    <t>Comments for clients</t>
  </si>
  <si>
    <t>Full Names</t>
  </si>
  <si>
    <t>Name Acronyms</t>
  </si>
  <si>
    <t>ClientDipOrientation</t>
  </si>
  <si>
    <t>ClientDatum</t>
  </si>
  <si>
    <t>ClientZone</t>
  </si>
  <si>
    <t>ToolSerial</t>
  </si>
  <si>
    <t>ToolType</t>
  </si>
  <si>
    <t>RTIO HUB</t>
  </si>
  <si>
    <t>From Vertical</t>
  </si>
  <si>
    <t>-</t>
  </si>
  <si>
    <t>cm</t>
  </si>
  <si>
    <t>NO SURVEY - HOLE BLOCKED AT XXm</t>
  </si>
  <si>
    <t>AA</t>
  </si>
  <si>
    <t>ARGJEND AVDIU</t>
  </si>
  <si>
    <t>Las Logging Complete</t>
  </si>
  <si>
    <t>Yes</t>
  </si>
  <si>
    <t>Post "_C" Logging Exists</t>
  </si>
  <si>
    <t>No</t>
  </si>
  <si>
    <t>G.L.</t>
  </si>
  <si>
    <t>From Horizontal</t>
  </si>
  <si>
    <t>Diamond</t>
  </si>
  <si>
    <t>from checklite</t>
  </si>
  <si>
    <t>GDA94</t>
  </si>
  <si>
    <t>0001/11</t>
  </si>
  <si>
    <t>WATER</t>
  </si>
  <si>
    <t>mm</t>
  </si>
  <si>
    <t>60s</t>
  </si>
  <si>
    <t>WESTERN AUSTRALIA</t>
  </si>
  <si>
    <t>AAMC WONMUNNA</t>
  </si>
  <si>
    <t>AAMC</t>
  </si>
  <si>
    <t>AUSTRALIA</t>
  </si>
  <si>
    <t>NO SURVEY - HOLE BLOCKED AT COLLAR</t>
  </si>
  <si>
    <t>ACO</t>
  </si>
  <si>
    <t>ADAM CORRIE</t>
  </si>
  <si>
    <t>5843S10361</t>
  </si>
  <si>
    <t>DGPS</t>
  </si>
  <si>
    <t>Witness</t>
  </si>
  <si>
    <t>D.F.</t>
  </si>
  <si>
    <t>RC</t>
  </si>
  <si>
    <t>Dummy</t>
  </si>
  <si>
    <t>WGS84</t>
  </si>
  <si>
    <t>0002/11</t>
  </si>
  <si>
    <t>KCL</t>
  </si>
  <si>
    <t>in</t>
  </si>
  <si>
    <t>59s</t>
  </si>
  <si>
    <t>QUEENSLAND</t>
  </si>
  <si>
    <t>ACCENT</t>
  </si>
  <si>
    <t>CANADA</t>
  </si>
  <si>
    <t>NO SURVEY - HOLE BLOCKED AT SURFACE</t>
  </si>
  <si>
    <t>AGA</t>
  </si>
  <si>
    <t>ALFONSO GARCIA</t>
  </si>
  <si>
    <t>5843S10461</t>
  </si>
  <si>
    <t>Client Signature</t>
  </si>
  <si>
    <t>Pad condition on leaving</t>
  </si>
  <si>
    <t>Good - clean stable surface</t>
  </si>
  <si>
    <t>K.B.</t>
  </si>
  <si>
    <t>NS</t>
  </si>
  <si>
    <t>Chip</t>
  </si>
  <si>
    <t>9012InRod</t>
  </si>
  <si>
    <t>NAD83</t>
  </si>
  <si>
    <t>0013/10</t>
  </si>
  <si>
    <t>POLYMER</t>
  </si>
  <si>
    <t>58s</t>
  </si>
  <si>
    <t>NEW SOUTH WALES</t>
  </si>
  <si>
    <t>AGNICO EAGLE</t>
  </si>
  <si>
    <t>USA</t>
  </si>
  <si>
    <t>NO SURVEY - COLLAR DESTROYED</t>
  </si>
  <si>
    <t>AL</t>
  </si>
  <si>
    <t>ALVARO GAYO</t>
  </si>
  <si>
    <t>5843S10511</t>
  </si>
  <si>
    <t>QC Score</t>
  </si>
  <si>
    <t>Mud Rotary</t>
  </si>
  <si>
    <t>NAD27</t>
  </si>
  <si>
    <t>0015/10</t>
  </si>
  <si>
    <t>AIR</t>
  </si>
  <si>
    <t>57s</t>
  </si>
  <si>
    <t>NORTHERN TERRITORY</t>
  </si>
  <si>
    <t>AIM  MINING CORPORATION</t>
  </si>
  <si>
    <t>PHILIPPINES</t>
  </si>
  <si>
    <t>NO SURVEY - COLLAR DAMAGED</t>
  </si>
  <si>
    <t>ALG</t>
  </si>
  <si>
    <t>ANTHONY WILLIAMS</t>
  </si>
  <si>
    <t>5843S10519</t>
  </si>
  <si>
    <t>*Only use "_ReEntry" if you have previously submited the completed hole. Don't use "_ReEntry" in the Trimble DGPS PtID.</t>
  </si>
  <si>
    <t>\ (•◡•) / 100%</t>
  </si>
  <si>
    <t>Survey type</t>
  </si>
  <si>
    <t>Air Core</t>
  </si>
  <si>
    <t>UTM</t>
  </si>
  <si>
    <t>0016/10</t>
  </si>
  <si>
    <t>FOAM</t>
  </si>
  <si>
    <t>kg/m</t>
  </si>
  <si>
    <t>56s</t>
  </si>
  <si>
    <t>SOUTH AUSTRALIA</t>
  </si>
  <si>
    <t>API MANAGEMENT WEST PILBARA</t>
  </si>
  <si>
    <t>API MANAGEMENT</t>
  </si>
  <si>
    <t>LAOS</t>
  </si>
  <si>
    <t>NO SURVEY - ACCESS DESTROYED</t>
  </si>
  <si>
    <t>AMC</t>
  </si>
  <si>
    <t>MARK CHERRY</t>
  </si>
  <si>
    <t>5843S10529</t>
  </si>
  <si>
    <t>Hole Name</t>
  </si>
  <si>
    <t>RC26VIV0007</t>
  </si>
  <si>
    <t>Mag Declination</t>
  </si>
  <si>
    <t>Mud Type</t>
  </si>
  <si>
    <t>Detail Zones</t>
  </si>
  <si>
    <t>PDC</t>
  </si>
  <si>
    <t>LOCAL GRID</t>
  </si>
  <si>
    <t xml:space="preserve">0017/10 </t>
  </si>
  <si>
    <t>OBM</t>
  </si>
  <si>
    <t>lb/ft</t>
  </si>
  <si>
    <t>55s</t>
  </si>
  <si>
    <t>TASMANIA</t>
  </si>
  <si>
    <t>AQUIFER RESOURCES</t>
  </si>
  <si>
    <t>MOZAMBIQUE</t>
  </si>
  <si>
    <t>NO SURVEY - FIBROUS HOLE</t>
  </si>
  <si>
    <t>AP</t>
  </si>
  <si>
    <t>ANTONIA PLANKENSTEINER</t>
  </si>
  <si>
    <t>5843S10542</t>
  </si>
  <si>
    <t>Azi Graph</t>
  </si>
  <si>
    <t>Peg Number</t>
  </si>
  <si>
    <t>Mud Weight</t>
  </si>
  <si>
    <t>Top</t>
  </si>
  <si>
    <t>Bottom</t>
  </si>
  <si>
    <t>InRod/Rig</t>
  </si>
  <si>
    <t>CASING TYPE</t>
  </si>
  <si>
    <t>AGD84</t>
  </si>
  <si>
    <t>002/10</t>
  </si>
  <si>
    <t>BARITE</t>
  </si>
  <si>
    <t>54s</t>
  </si>
  <si>
    <t>VICTORIA</t>
  </si>
  <si>
    <t>AZURE MINERALS - ANDOVER</t>
  </si>
  <si>
    <t xml:space="preserve">AZURE MINERALS </t>
  </si>
  <si>
    <t>SOUTH AFRICA</t>
  </si>
  <si>
    <t>NO SURVEY - POOR PAD CONDITIONS</t>
  </si>
  <si>
    <t>BAEB</t>
  </si>
  <si>
    <t>BEN BAKER</t>
  </si>
  <si>
    <t>5916S11991</t>
  </si>
  <si>
    <t>Deposit Code (Field)</t>
  </si>
  <si>
    <t>VIV</t>
  </si>
  <si>
    <t>Planned Azimuth</t>
  </si>
  <si>
    <t>Salinity</t>
  </si>
  <si>
    <t>ppm</t>
  </si>
  <si>
    <t>Open Hole</t>
  </si>
  <si>
    <t>9098-Gyro</t>
  </si>
  <si>
    <t>003/10</t>
  </si>
  <si>
    <t>g/cc</t>
  </si>
  <si>
    <t>53s</t>
  </si>
  <si>
    <t>ALBERTA</t>
  </si>
  <si>
    <t>BELLEVUE GOLD</t>
  </si>
  <si>
    <t>BOTSWANA</t>
  </si>
  <si>
    <t>NO SURVEY - HOLE ABANDONED</t>
  </si>
  <si>
    <t>BJD</t>
  </si>
  <si>
    <t>BENJAMIN CONNOR</t>
  </si>
  <si>
    <t>Tenement (Location)</t>
  </si>
  <si>
    <t>Datum</t>
  </si>
  <si>
    <t>Cased Hole</t>
  </si>
  <si>
    <t>PVC</t>
  </si>
  <si>
    <t>0909/12</t>
  </si>
  <si>
    <t>lbs/gal</t>
  </si>
  <si>
    <t>52s</t>
  </si>
  <si>
    <t>BRITISH COLUMBIA</t>
  </si>
  <si>
    <t>BELLS CORNER</t>
  </si>
  <si>
    <t>BSY</t>
  </si>
  <si>
    <t>BRENNAN YARDLEY</t>
  </si>
  <si>
    <t>Azi Graph - arrow part 1</t>
  </si>
  <si>
    <t>State / Prov</t>
  </si>
  <si>
    <t>Grid Zone</t>
  </si>
  <si>
    <t>50s</t>
  </si>
  <si>
    <t>Measured</t>
  </si>
  <si>
    <t>Difference</t>
  </si>
  <si>
    <t>Rm</t>
  </si>
  <si>
    <t>Thru Bit</t>
  </si>
  <si>
    <t>STEEL</t>
  </si>
  <si>
    <t>51s</t>
  </si>
  <si>
    <t>LABRADOR</t>
  </si>
  <si>
    <t>BHP NICKEL WEST</t>
  </si>
  <si>
    <t>DGPS NOT COLLECTED - WATER BORE</t>
  </si>
  <si>
    <t>CHE</t>
  </si>
  <si>
    <t>CHRIS HEAD</t>
  </si>
  <si>
    <t>Planned Easting</t>
  </si>
  <si>
    <t>E</t>
  </si>
  <si>
    <t>m</t>
  </si>
  <si>
    <t>Rmf</t>
  </si>
  <si>
    <t>InPVC</t>
  </si>
  <si>
    <t>SLOTTED</t>
  </si>
  <si>
    <t>MANITOBA</t>
  </si>
  <si>
    <t>BIG BELL 2</t>
  </si>
  <si>
    <t>MINEGEOTECH</t>
  </si>
  <si>
    <t>DGPS NOT COLLECTED - CHECK SHOT OUTSIDE OF TOLERANCE</t>
  </si>
  <si>
    <t>CHG</t>
  </si>
  <si>
    <t>CHARLES GARDINER</t>
  </si>
  <si>
    <t>Rig Number</t>
  </si>
  <si>
    <t>Planned Northing</t>
  </si>
  <si>
    <t>N</t>
  </si>
  <si>
    <t>Rmc</t>
  </si>
  <si>
    <t>NONE</t>
  </si>
  <si>
    <t>3CAL</t>
  </si>
  <si>
    <t>49s</t>
  </si>
  <si>
    <t>NEW BRUNSWICK</t>
  </si>
  <si>
    <t>BOSS RESOURCES</t>
  </si>
  <si>
    <t>DGPS NOT COLLECTED - NO SATELLITES RTX</t>
  </si>
  <si>
    <t>CLH</t>
  </si>
  <si>
    <t>CAMERON HEATH</t>
  </si>
  <si>
    <t>Azi Graph - arrow part 2</t>
  </si>
  <si>
    <t>Elevation GL</t>
  </si>
  <si>
    <t>Total Diff</t>
  </si>
  <si>
    <t>OTHER</t>
  </si>
  <si>
    <t>NorthGyro</t>
  </si>
  <si>
    <t>48s</t>
  </si>
  <si>
    <t>NEWFOUNDLAND</t>
  </si>
  <si>
    <t>BREAKER RESOURCES</t>
  </si>
  <si>
    <t>DGPS NOT COLLECTED - LIMITED SATELLITES RTX</t>
  </si>
  <si>
    <t>CNC</t>
  </si>
  <si>
    <t>CHRISTOPHER CALLISON</t>
  </si>
  <si>
    <t>Elevation DF</t>
  </si>
  <si>
    <t>Circ Stopped</t>
  </si>
  <si>
    <t>Division</t>
  </si>
  <si>
    <t>LoggingUnit</t>
  </si>
  <si>
    <t>GVGamma</t>
  </si>
  <si>
    <t>47s</t>
  </si>
  <si>
    <t>NW TERRITORIES</t>
  </si>
  <si>
    <t>BUXTON RESOURCES</t>
  </si>
  <si>
    <t xml:space="preserve">DGPS NOT COLLECTED - NO RADIO SIGNAL RTK </t>
  </si>
  <si>
    <t>CPJ</t>
  </si>
  <si>
    <t>CALLUM JOSEY</t>
  </si>
  <si>
    <t>Bit Size</t>
  </si>
  <si>
    <t>Elevation KB</t>
  </si>
  <si>
    <t>BH Temp</t>
  </si>
  <si>
    <t>Deg C</t>
  </si>
  <si>
    <t>PWS</t>
  </si>
  <si>
    <t>0705</t>
  </si>
  <si>
    <t>ABI</t>
  </si>
  <si>
    <t>46s</t>
  </si>
  <si>
    <t>NOVA SCOTIA</t>
  </si>
  <si>
    <t>CARAVEL LTD - GILLINGARRA WATER BORES</t>
  </si>
  <si>
    <t>CARAVEL MINERALS LIMITED</t>
  </si>
  <si>
    <t xml:space="preserve">DGPS NOT COLLECTED - WOULD NOT CONVERGE RTX </t>
  </si>
  <si>
    <t>CWR</t>
  </si>
  <si>
    <t>CHRIS REDMAN</t>
  </si>
  <si>
    <t>Drillers TD (DTD)</t>
  </si>
  <si>
    <t>Drill Depth From</t>
  </si>
  <si>
    <t/>
  </si>
  <si>
    <t>Time Since Circ</t>
  </si>
  <si>
    <t>Hrs</t>
  </si>
  <si>
    <t>CWS</t>
  </si>
  <si>
    <t>0803</t>
  </si>
  <si>
    <t>OBI</t>
  </si>
  <si>
    <t>1873CZ</t>
  </si>
  <si>
    <t>45s</t>
  </si>
  <si>
    <t>NUNAVUT</t>
  </si>
  <si>
    <t>CHALICE GOLD</t>
  </si>
  <si>
    <t>DGPS NOT COLLECTED - XXXWHY?XXX</t>
  </si>
  <si>
    <t>CX</t>
  </si>
  <si>
    <t>CONG XIAO</t>
  </si>
  <si>
    <t>Loggers TD (LTD)</t>
  </si>
  <si>
    <t>Log Depth From</t>
  </si>
  <si>
    <t>Fluid Level</t>
  </si>
  <si>
    <t>DRY</t>
  </si>
  <si>
    <t>PPW</t>
  </si>
  <si>
    <t>0805</t>
  </si>
  <si>
    <t>MCST</t>
  </si>
  <si>
    <t>1874CZ</t>
  </si>
  <si>
    <t>44s</t>
  </si>
  <si>
    <t>ONTARIO</t>
  </si>
  <si>
    <t>CYPRIUM METALS</t>
  </si>
  <si>
    <t>NIFTY COPPER MINE</t>
  </si>
  <si>
    <t>IN ROD COLLECTED WITH 9139</t>
  </si>
  <si>
    <t>DAP</t>
  </si>
  <si>
    <t>DARRYL PAGE</t>
  </si>
  <si>
    <t>Casing Shoe Driller</t>
  </si>
  <si>
    <t>0806</t>
  </si>
  <si>
    <t>2281CN</t>
  </si>
  <si>
    <t>43s</t>
  </si>
  <si>
    <t>PRINCE EDWARD ISLAND</t>
  </si>
  <si>
    <t>DE GREY MINING</t>
  </si>
  <si>
    <t>DENSITY TOOL HUNG AT XX.Xm – DENSITY SURVEY TO XXm</t>
  </si>
  <si>
    <t>DJM</t>
  </si>
  <si>
    <t>DAVID METCALFE</t>
  </si>
  <si>
    <t>Casing Shoe Logger</t>
  </si>
  <si>
    <t>Rig Stickup for Header</t>
  </si>
  <si>
    <t>1003</t>
  </si>
  <si>
    <t>SpectralGamma</t>
  </si>
  <si>
    <t>2282CN</t>
  </si>
  <si>
    <t>42s</t>
  </si>
  <si>
    <t>QUEBEC</t>
  </si>
  <si>
    <t>ELEVATE URANIUM LIMITED</t>
  </si>
  <si>
    <t>NO DENSITY SURVEY – OPEN HOLE BLOCKED AT XXm</t>
  </si>
  <si>
    <t>DQU</t>
  </si>
  <si>
    <t>DOM QUINLIVAN</t>
  </si>
  <si>
    <t>Casing OD</t>
  </si>
  <si>
    <t>Cas Stickup for Header</t>
  </si>
  <si>
    <t>Repeat Section</t>
  </si>
  <si>
    <t>1005</t>
  </si>
  <si>
    <t>IRD</t>
  </si>
  <si>
    <t>41s</t>
  </si>
  <si>
    <t>SASKATCHEWAN</t>
  </si>
  <si>
    <t>FMGL CHRISTMAS CREEK</t>
  </si>
  <si>
    <t>FMGL MINES</t>
  </si>
  <si>
    <t>NO DENSITY SURVEY ABOVE XXm – TOOL STUCK ON UPRUN</t>
  </si>
  <si>
    <t>DRM</t>
  </si>
  <si>
    <t>DONALD MBANGANI</t>
  </si>
  <si>
    <t>Casing ID</t>
  </si>
  <si>
    <t>1201</t>
  </si>
  <si>
    <t>BMR</t>
  </si>
  <si>
    <t>4507NE</t>
  </si>
  <si>
    <t>40s</t>
  </si>
  <si>
    <t>YUKON</t>
  </si>
  <si>
    <t>FMGL CLOUDBREAK</t>
  </si>
  <si>
    <t>DRU</t>
  </si>
  <si>
    <t>DENNIS RUTTEN</t>
  </si>
  <si>
    <t>Casing Weight</t>
  </si>
  <si>
    <t>Neutron source used</t>
  </si>
  <si>
    <t>1206</t>
  </si>
  <si>
    <t>IND</t>
  </si>
  <si>
    <t>8715CN/RN940</t>
  </si>
  <si>
    <t>39s</t>
  </si>
  <si>
    <t>FMGL ELIWANA</t>
  </si>
  <si>
    <t>NO OPEN HOLE SURVEY - OPEN HOLE BLOCKED AT XXm</t>
  </si>
  <si>
    <t>DRZ</t>
  </si>
  <si>
    <t>DANIEL ZAMARCA</t>
  </si>
  <si>
    <t>Casing Type</t>
  </si>
  <si>
    <t>Density source used</t>
  </si>
  <si>
    <t>SP Scale</t>
  </si>
  <si>
    <t>1208</t>
  </si>
  <si>
    <t>EM51</t>
  </si>
  <si>
    <t>CZ1872</t>
  </si>
  <si>
    <t>38s</t>
  </si>
  <si>
    <t>FMGL SOLOMON</t>
  </si>
  <si>
    <t>NO OPEN HOLE SURVEY - OPEN HOLE BLOCKED AT COLLAR</t>
  </si>
  <si>
    <t>DVH</t>
  </si>
  <si>
    <t>DEAN VAN HEEZIK</t>
  </si>
  <si>
    <t>Prod. casing OD</t>
  </si>
  <si>
    <t>1301</t>
  </si>
  <si>
    <t>FLOW</t>
  </si>
  <si>
    <t>L516</t>
  </si>
  <si>
    <t>37s</t>
  </si>
  <si>
    <t>FMGX EXPLORATION</t>
  </si>
  <si>
    <t>FMGL EXPLORATION</t>
  </si>
  <si>
    <t>NO OPEN HOLE SURVEY - OPEN HOLE BLOCKED AT SURFACE</t>
  </si>
  <si>
    <t>ERC</t>
  </si>
  <si>
    <t>EDER RODRIGUES COSTA</t>
  </si>
  <si>
    <t>Enter N or</t>
  </si>
  <si>
    <t>DEPTH CONTROL</t>
  </si>
  <si>
    <t>1401</t>
  </si>
  <si>
    <t>DHEM</t>
  </si>
  <si>
    <t>L579</t>
  </si>
  <si>
    <t>36s</t>
  </si>
  <si>
    <t>FQM RAVENSTHORPE</t>
  </si>
  <si>
    <t>FIRST QUANTUM MINERALS</t>
  </si>
  <si>
    <t>NO OPEN HOLE SURVEY - COLLAR DESTROYED</t>
  </si>
  <si>
    <t>FN</t>
  </si>
  <si>
    <t>FADLI NEWELL</t>
  </si>
  <si>
    <t>Hangup Depth</t>
  </si>
  <si>
    <t>Start</t>
  </si>
  <si>
    <t>End</t>
  </si>
  <si>
    <t xml:space="preserve">Suggested </t>
  </si>
  <si>
    <t>Correction</t>
  </si>
  <si>
    <t>1501</t>
  </si>
  <si>
    <t>L670</t>
  </si>
  <si>
    <t>35s</t>
  </si>
  <si>
    <t>GHD GEOTECH FORRESTFIELD</t>
  </si>
  <si>
    <t>GHD</t>
  </si>
  <si>
    <t>NO OPEN HOLE SURVEY - COLLAR DAMAGED</t>
  </si>
  <si>
    <t>GJL</t>
  </si>
  <si>
    <t>GREGORY LICATA</t>
  </si>
  <si>
    <t>Tool</t>
  </si>
  <si>
    <t>Lead</t>
  </si>
  <si>
    <t>Logging</t>
  </si>
  <si>
    <t>Depth</t>
  </si>
  <si>
    <t>Shoulder</t>
  </si>
  <si>
    <t>Encoder</t>
  </si>
  <si>
    <t>depth</t>
  </si>
  <si>
    <t>Applied</t>
  </si>
  <si>
    <t>1502</t>
  </si>
  <si>
    <t>PE551</t>
  </si>
  <si>
    <t>34s</t>
  </si>
  <si>
    <t>GOLDEN GROVE</t>
  </si>
  <si>
    <t>NO OPEN HOLE SURVEY - ACCESS DESTROYED</t>
  </si>
  <si>
    <t>GMF</t>
  </si>
  <si>
    <t>GLEN FOX</t>
  </si>
  <si>
    <t>Type</t>
  </si>
  <si>
    <t>Serial#</t>
  </si>
  <si>
    <t>Source</t>
  </si>
  <si>
    <t>Survey Type</t>
  </si>
  <si>
    <t>Hang Up</t>
  </si>
  <si>
    <t>Date</t>
  </si>
  <si>
    <t>Operator</t>
  </si>
  <si>
    <t>Unit</t>
  </si>
  <si>
    <t>Start Time</t>
  </si>
  <si>
    <t>Finish Time</t>
  </si>
  <si>
    <t>Stickup</t>
  </si>
  <si>
    <t>Offset</t>
  </si>
  <si>
    <t>correction</t>
  </si>
  <si>
    <t xml:space="preserve"> by checklite</t>
  </si>
  <si>
    <t>1701</t>
  </si>
  <si>
    <t>PE555</t>
  </si>
  <si>
    <t>33s</t>
  </si>
  <si>
    <t>GWR HATCHES CREEK</t>
  </si>
  <si>
    <t>GWR</t>
  </si>
  <si>
    <t>NO OPEN HOLE SURVEY - FIBROUS HOLE</t>
  </si>
  <si>
    <t>HKA</t>
  </si>
  <si>
    <t>GUILLAUME DELORME</t>
  </si>
  <si>
    <t>TJJ</t>
  </si>
  <si>
    <t>1702</t>
  </si>
  <si>
    <t>PE574</t>
  </si>
  <si>
    <t>32s</t>
  </si>
  <si>
    <t>HANCOCK PROSPECTING</t>
  </si>
  <si>
    <t>NO OPEN HOLE SURVEY - POOR PAD CONDITIONS</t>
  </si>
  <si>
    <t>JAM</t>
  </si>
  <si>
    <t>JASON MATHER</t>
  </si>
  <si>
    <t>1703</t>
  </si>
  <si>
    <t>PE597</t>
  </si>
  <si>
    <t>31s</t>
  </si>
  <si>
    <t>IGO</t>
  </si>
  <si>
    <t>IGO DHEM</t>
  </si>
  <si>
    <t>JCD</t>
  </si>
  <si>
    <t>JAYDEN DANIELS</t>
  </si>
  <si>
    <t>1801</t>
  </si>
  <si>
    <t>PE606</t>
  </si>
  <si>
    <t>30s</t>
  </si>
  <si>
    <t>IOC</t>
  </si>
  <si>
    <t>OPEN HOLE BLOCKED AT XXm</t>
  </si>
  <si>
    <t>JCL</t>
  </si>
  <si>
    <t>JEFF LOHREY</t>
  </si>
  <si>
    <t>1802</t>
  </si>
  <si>
    <t>PE619</t>
  </si>
  <si>
    <t>29s</t>
  </si>
  <si>
    <t>IRONBRIDGE</t>
  </si>
  <si>
    <t>HOLE BLOCKED AT SURFACE</t>
  </si>
  <si>
    <t>JDT</t>
  </si>
  <si>
    <t>JON TEMBY</t>
  </si>
  <si>
    <t>1803</t>
  </si>
  <si>
    <t>R037</t>
  </si>
  <si>
    <t>28s</t>
  </si>
  <si>
    <t>JAGUAR</t>
  </si>
  <si>
    <t>ROUND OAK MINERALS</t>
  </si>
  <si>
    <t>HOLE BLOCKED AT XXm</t>
  </si>
  <si>
    <t>JJD</t>
  </si>
  <si>
    <t>JAMES DANIEL</t>
  </si>
  <si>
    <t>1804</t>
  </si>
  <si>
    <t>R038</t>
  </si>
  <si>
    <t>27s</t>
  </si>
  <si>
    <t>KARARA MINING LIMITED</t>
  </si>
  <si>
    <t>NO INROD SURVEY</t>
  </si>
  <si>
    <t>JKK</t>
  </si>
  <si>
    <t>JIM KADURU</t>
  </si>
  <si>
    <t>1901</t>
  </si>
  <si>
    <t>R039</t>
  </si>
  <si>
    <t>26s</t>
  </si>
  <si>
    <t>LYNAS RARE EARTHS</t>
  </si>
  <si>
    <t>INROD NOT COLLECTED BY WSG</t>
  </si>
  <si>
    <t>JLA</t>
  </si>
  <si>
    <t>JORDAN ALWEYN</t>
  </si>
  <si>
    <t>1902</t>
  </si>
  <si>
    <t>R056</t>
  </si>
  <si>
    <t>25s</t>
  </si>
  <si>
    <t>MINERAL RESOURCES</t>
  </si>
  <si>
    <t>MAG SUSC RUN CENTRALISED</t>
  </si>
  <si>
    <t>JMP</t>
  </si>
  <si>
    <t>JEVARN PRENTICE</t>
  </si>
  <si>
    <t>2001</t>
  </si>
  <si>
    <t>R057</t>
  </si>
  <si>
    <t>24s</t>
  </si>
  <si>
    <t>NEWCREST</t>
  </si>
  <si>
    <t>RE-ENTRY HOLE</t>
  </si>
  <si>
    <t>JNG</t>
  </si>
  <si>
    <t>JACK NGUYEN</t>
  </si>
  <si>
    <t>Pad Condition</t>
  </si>
  <si>
    <t>2002</t>
  </si>
  <si>
    <t>H001/21</t>
  </si>
  <si>
    <t>23s</t>
  </si>
  <si>
    <t>NEWMONT BODDINGTON</t>
  </si>
  <si>
    <t>NEWMONT MINING</t>
  </si>
  <si>
    <t>AREA INACCESSIBLE DUE TO REHAB</t>
  </si>
  <si>
    <t>JOT</t>
  </si>
  <si>
    <t>JONATHAN TAYLOR</t>
  </si>
  <si>
    <t>2003</t>
  </si>
  <si>
    <t>H002/21</t>
  </si>
  <si>
    <t>22s</t>
  </si>
  <si>
    <t>NEWMONT CHRISTMAS CREEK</t>
  </si>
  <si>
    <t>NEWMONT GOLD</t>
  </si>
  <si>
    <t>JSK</t>
  </si>
  <si>
    <t>JESSE SKEY</t>
  </si>
  <si>
    <t>2004</t>
  </si>
  <si>
    <t>H003/22</t>
  </si>
  <si>
    <t>21s</t>
  </si>
  <si>
    <t>NEWMONT TANAMI</t>
  </si>
  <si>
    <t>DRILLER PULLED ONE ROD TO XXm</t>
  </si>
  <si>
    <t>KAK</t>
  </si>
  <si>
    <t>KARTIK KUMAR</t>
  </si>
  <si>
    <t>GYRO ORIENTATION</t>
  </si>
  <si>
    <t>Spinning Mass Gyro</t>
  </si>
  <si>
    <t>Ok - waste left on pad</t>
  </si>
  <si>
    <t>2005</t>
  </si>
  <si>
    <t>H004/22</t>
  </si>
  <si>
    <t>20s</t>
  </si>
  <si>
    <t>ORABANDA MINING LTD</t>
  </si>
  <si>
    <t>DAVYHURST PROJECT</t>
  </si>
  <si>
    <t>STEEL CASING TO XXm</t>
  </si>
  <si>
    <t>KAN</t>
  </si>
  <si>
    <t>KURT NEILSON</t>
  </si>
  <si>
    <t>Bearing</t>
  </si>
  <si>
    <t>Signal</t>
  </si>
  <si>
    <t>Orientation comments</t>
  </si>
  <si>
    <t>Total Drift</t>
  </si>
  <si>
    <t>Survey Time</t>
  </si>
  <si>
    <t>Drift Min</t>
  </si>
  <si>
    <t>Drift Hr</t>
  </si>
  <si>
    <t>Drift Bust</t>
  </si>
  <si>
    <t>Ok - muddy / uneven pad</t>
  </si>
  <si>
    <t>2101</t>
  </si>
  <si>
    <t>H005/23</t>
  </si>
  <si>
    <t>19s</t>
  </si>
  <si>
    <t>PODIUM MINERALS - NEWEXCO</t>
  </si>
  <si>
    <t>PARKS REEF PROJECT</t>
  </si>
  <si>
    <t>PVC CASING TO XXm</t>
  </si>
  <si>
    <t>KJS</t>
  </si>
  <si>
    <t>KHAI SPINK</t>
  </si>
  <si>
    <t>APS</t>
  </si>
  <si>
    <t>Poor - Collar hazardous</t>
  </si>
  <si>
    <t>2102</t>
  </si>
  <si>
    <t>H006/23</t>
  </si>
  <si>
    <t>18s</t>
  </si>
  <si>
    <t>PREMIER COAL</t>
  </si>
  <si>
    <t>Internal comments - not for client</t>
  </si>
  <si>
    <t>KLH</t>
  </si>
  <si>
    <t>KATE HATTON</t>
  </si>
  <si>
    <t>Compass</t>
  </si>
  <si>
    <t>Poor - Hazardous pad surface</t>
  </si>
  <si>
    <t>2103</t>
  </si>
  <si>
    <t>H007/24</t>
  </si>
  <si>
    <t>17s</t>
  </si>
  <si>
    <t>PRODIGY GOLD</t>
  </si>
  <si>
    <t>KZA</t>
  </si>
  <si>
    <t>RICHARD AUNG</t>
  </si>
  <si>
    <t>MEMS Gyro</t>
  </si>
  <si>
    <t>Bad - inaccessible due to pad condition</t>
  </si>
  <si>
    <t>2104</t>
  </si>
  <si>
    <t>H008/24</t>
  </si>
  <si>
    <t>16s</t>
  </si>
  <si>
    <t>REGIS RESOURCES</t>
  </si>
  <si>
    <t>DGPS DELAYED - WILL BE COLLECTED ASAP</t>
  </si>
  <si>
    <t>LDW</t>
  </si>
  <si>
    <t xml:space="preserve">LIAM WALKER </t>
  </si>
  <si>
    <t>Rotation</t>
  </si>
  <si>
    <t>Start Azi</t>
  </si>
  <si>
    <t>Bad - inaccessible due to collar blown</t>
  </si>
  <si>
    <t>2105</t>
  </si>
  <si>
    <t>P_null</t>
  </si>
  <si>
    <t>15s</t>
  </si>
  <si>
    <t>RESOURCE POTENTIALS</t>
  </si>
  <si>
    <t>LRI</t>
  </si>
  <si>
    <t>LUKE RICHARDS</t>
  </si>
  <si>
    <t>Gyro ref</t>
  </si>
  <si>
    <t>Easting</t>
  </si>
  <si>
    <t>Northing</t>
  </si>
  <si>
    <t>Sighter Ref</t>
  </si>
  <si>
    <t>dE</t>
  </si>
  <si>
    <t>dN</t>
  </si>
  <si>
    <t>Distance</t>
  </si>
  <si>
    <t>Inrun</t>
  </si>
  <si>
    <t>Outrun</t>
  </si>
  <si>
    <t>InRun</t>
  </si>
  <si>
    <t>In Vs Out</t>
  </si>
  <si>
    <t>2106</t>
  </si>
  <si>
    <t>P_116</t>
  </si>
  <si>
    <t>14s</t>
  </si>
  <si>
    <t>RIO TINTO EXPL CAN</t>
  </si>
  <si>
    <t>TOP OF TUBE AT XXM</t>
  </si>
  <si>
    <t>LTW</t>
  </si>
  <si>
    <t>LISA WHITFORD</t>
  </si>
  <si>
    <t>Handheld</t>
  </si>
  <si>
    <t>Main Log</t>
  </si>
  <si>
    <t>2107</t>
  </si>
  <si>
    <t>P_134</t>
  </si>
  <si>
    <t>13s</t>
  </si>
  <si>
    <t>ROY HILL MCPHEE CREEK</t>
  </si>
  <si>
    <t>ROY HILL</t>
  </si>
  <si>
    <t>PULLED BACK XXM TOP OF TUBE AT XXM</t>
  </si>
  <si>
    <t>MAW</t>
  </si>
  <si>
    <t>MYLES WILLIAMSON</t>
  </si>
  <si>
    <t>Collar Shot</t>
  </si>
  <si>
    <t>2108</t>
  </si>
  <si>
    <t>P_154</t>
  </si>
  <si>
    <t>12s</t>
  </si>
  <si>
    <t>ROY HILL MINE</t>
  </si>
  <si>
    <t>BOTTOM BARREL AT XXM</t>
  </si>
  <si>
    <t xml:space="preserve">MKJ </t>
  </si>
  <si>
    <t>MICHAEL JOYCE</t>
  </si>
  <si>
    <t>Optical Borehole Visibility</t>
  </si>
  <si>
    <t>2109</t>
  </si>
  <si>
    <t>P_155</t>
  </si>
  <si>
    <t>11s</t>
  </si>
  <si>
    <t>RIO TINTO IRON ORE</t>
  </si>
  <si>
    <t>BROCKMAN</t>
  </si>
  <si>
    <t>NSGYRO BAD STATISTIC WARNING,  BAD STATISTIC DESELECTED, , TEXT FILE EDITED</t>
  </si>
  <si>
    <t>MM</t>
  </si>
  <si>
    <t>MOSES MUREITHI</t>
  </si>
  <si>
    <r>
      <rPr>
        <b/>
        <sz val="8"/>
        <color rgb="FFFF0000"/>
        <rFont val="Arial"/>
        <family val="2"/>
      </rPr>
      <t>WARNING:</t>
    </r>
    <r>
      <rPr>
        <sz val="8"/>
        <color rgb="FFFF0000"/>
        <rFont val="Arial"/>
        <family val="2"/>
      </rPr>
      <t xml:space="preserve"> </t>
    </r>
    <r>
      <rPr>
        <sz val="8"/>
        <rFont val="Arial"/>
        <family val="2"/>
        <charset val="1"/>
      </rPr>
      <t>Dragging and dropping Comments will corrupt FieldTrack and your Well Reports - Please add or delete comments - but don't drag and drop comment cells.</t>
    </r>
  </si>
  <si>
    <t>Open Hole Encoder Factor</t>
  </si>
  <si>
    <t>2110</t>
  </si>
  <si>
    <t>P_158</t>
  </si>
  <si>
    <t>10s</t>
  </si>
  <si>
    <t>RTIO EXPLORATION</t>
  </si>
  <si>
    <t>EXPLORATION</t>
  </si>
  <si>
    <t>MOR</t>
  </si>
  <si>
    <t>MATHEW O'REILLY</t>
  </si>
  <si>
    <r>
      <t xml:space="preserve">Log Header Comments - </t>
    </r>
    <r>
      <rPr>
        <b/>
        <sz val="10"/>
        <color rgb="FFFF0000"/>
        <rFont val="Arial"/>
        <family val="2"/>
      </rPr>
      <t>SPELL CHECK - THESE ARE THE COMMENTS FOR THE CLIENT. BE AS CLEAR AS POSSIBLE.</t>
    </r>
  </si>
  <si>
    <t>Tool Serial Numbers and Calibration Details</t>
  </si>
  <si>
    <t>Very High - 90%</t>
  </si>
  <si>
    <t>2111</t>
  </si>
  <si>
    <t>P_6017</t>
  </si>
  <si>
    <t>9s</t>
  </si>
  <si>
    <t>RTIO GUDAI DARRI</t>
  </si>
  <si>
    <t>GUDAI DARRI</t>
  </si>
  <si>
    <t>NHA</t>
  </si>
  <si>
    <t>NADER HAIDAR</t>
  </si>
  <si>
    <t>Cal Date</t>
  </si>
  <si>
    <t>Tool type</t>
  </si>
  <si>
    <t>Serial #</t>
  </si>
  <si>
    <t>Source #</t>
  </si>
  <si>
    <t>Unit #</t>
  </si>
  <si>
    <t>Cal Hole Name</t>
  </si>
  <si>
    <t>SS CPS Low</t>
  </si>
  <si>
    <t>SS CPS High</t>
  </si>
  <si>
    <t>High - 75%</t>
  </si>
  <si>
    <t>2112</t>
  </si>
  <si>
    <t>P_6880</t>
  </si>
  <si>
    <t>8s</t>
  </si>
  <si>
    <t>RTIO HOPE DOWNS</t>
  </si>
  <si>
    <t>HOPE DOWNS</t>
  </si>
  <si>
    <t>NIC</t>
  </si>
  <si>
    <t>NICHOLAS COETZEE</t>
  </si>
  <si>
    <t>Cal 1 - Den</t>
  </si>
  <si>
    <t>H003/21</t>
  </si>
  <si>
    <t>DD25BS30011</t>
  </si>
  <si>
    <t>Moderate - 50%</t>
  </si>
  <si>
    <t>2201</t>
  </si>
  <si>
    <t>P_6882</t>
  </si>
  <si>
    <t>7s</t>
  </si>
  <si>
    <t>RTIO MARANDOO</t>
  </si>
  <si>
    <t>MARANDOO</t>
  </si>
  <si>
    <t>PB</t>
  </si>
  <si>
    <t>PAUL BRAMLEY</t>
  </si>
  <si>
    <t>Cal 2 - Mag</t>
  </si>
  <si>
    <t>Poor - 25%</t>
  </si>
  <si>
    <t>2202</t>
  </si>
  <si>
    <t>P_8013</t>
  </si>
  <si>
    <t>6s</t>
  </si>
  <si>
    <t>RTIO PARABURDOO</t>
  </si>
  <si>
    <t>PARABURDOO</t>
  </si>
  <si>
    <t>POL</t>
  </si>
  <si>
    <t>PIERRE-OLIVIER LANGE</t>
  </si>
  <si>
    <t>Very Poor - 0%</t>
  </si>
  <si>
    <t>2203</t>
  </si>
  <si>
    <t>P_8014</t>
  </si>
  <si>
    <t>5s</t>
  </si>
  <si>
    <t>RTIO ROBE VALLEY</t>
  </si>
  <si>
    <t>ROBE VALLEY</t>
  </si>
  <si>
    <t>RBO</t>
  </si>
  <si>
    <t>RONALD BONDOC</t>
  </si>
  <si>
    <t>2204</t>
  </si>
  <si>
    <t>P_8027</t>
  </si>
  <si>
    <t>4s</t>
  </si>
  <si>
    <t>RTIO TOM PRICE</t>
  </si>
  <si>
    <t>TOM PRICE</t>
  </si>
  <si>
    <t>RGD</t>
  </si>
  <si>
    <t>ROHAN DOYLE</t>
  </si>
  <si>
    <t>2205</t>
  </si>
  <si>
    <t>P_8030</t>
  </si>
  <si>
    <t>3s</t>
  </si>
  <si>
    <t>RTIO WEST ANGELAS</t>
  </si>
  <si>
    <t>WEST ANGELAS</t>
  </si>
  <si>
    <t>RLL</t>
  </si>
  <si>
    <t>RUBEN LOPEZ</t>
  </si>
  <si>
    <t>Optical Water Clarity</t>
  </si>
  <si>
    <t>2206</t>
  </si>
  <si>
    <t>P_8038</t>
  </si>
  <si>
    <t>2s</t>
  </si>
  <si>
    <t>RTX CALIBRE</t>
  </si>
  <si>
    <t>RIO TINTO EXPL AUS</t>
  </si>
  <si>
    <t>ROB</t>
  </si>
  <si>
    <t>RHYS BALE</t>
  </si>
  <si>
    <t>Visible - Borehole Visible</t>
  </si>
  <si>
    <t>2207</t>
  </si>
  <si>
    <t>P_8039</t>
  </si>
  <si>
    <t>1s</t>
  </si>
  <si>
    <t>RTX JANICE LAKE</t>
  </si>
  <si>
    <t>SGK</t>
  </si>
  <si>
    <t>STEVE KARIUKI</t>
  </si>
  <si>
    <t>Internal Comments - THESE ARE ONLY SEEN INTERNALLY BY WSG</t>
  </si>
  <si>
    <t>2301</t>
  </si>
  <si>
    <t>P_8040</t>
  </si>
  <si>
    <t>60n</t>
  </si>
  <si>
    <t>RTX METAWANDY</t>
  </si>
  <si>
    <t>SHE</t>
  </si>
  <si>
    <t>SHANE ELLIOTT</t>
  </si>
  <si>
    <t>Murkey - shrouded image</t>
  </si>
  <si>
    <t>2302</t>
  </si>
  <si>
    <t>59n</t>
  </si>
  <si>
    <t>RTX PATERSON</t>
  </si>
  <si>
    <t>SJB</t>
  </si>
  <si>
    <t>SIMON BURNUP</t>
  </si>
  <si>
    <t>None - borehole not visible</t>
  </si>
  <si>
    <t>2303</t>
  </si>
  <si>
    <t>58n</t>
  </si>
  <si>
    <t>RTX WINU</t>
  </si>
  <si>
    <t>SJW</t>
  </si>
  <si>
    <t xml:space="preserve">SAMUEL WILLIAMS </t>
  </si>
  <si>
    <t>2401</t>
  </si>
  <si>
    <t>57n</t>
  </si>
  <si>
    <t>SINOSTEEL MIDWEST</t>
  </si>
  <si>
    <t>SPE</t>
  </si>
  <si>
    <t>SABRINA PENNEY</t>
  </si>
  <si>
    <t>2402</t>
  </si>
  <si>
    <t>56n</t>
  </si>
  <si>
    <t>SSR MINING</t>
  </si>
  <si>
    <t>SR</t>
  </si>
  <si>
    <t>SHRIRAM RAMESH</t>
  </si>
  <si>
    <t>2403</t>
  </si>
  <si>
    <t>55n</t>
  </si>
  <si>
    <t>TALISON LITHIUM</t>
  </si>
  <si>
    <t>THN</t>
  </si>
  <si>
    <t>TALIB NAZARY</t>
  </si>
  <si>
    <t>2404</t>
  </si>
  <si>
    <t>54n</t>
  </si>
  <si>
    <t>TECK RESOURCES</t>
  </si>
  <si>
    <t>TINITIKO ORCHARD-MARSTERS</t>
  </si>
  <si>
    <t>2405</t>
  </si>
  <si>
    <t>53n</t>
  </si>
  <si>
    <t>TUNGSTEN MT MULGINE</t>
  </si>
  <si>
    <t>TUNGSTEN MINING</t>
  </si>
  <si>
    <t>TOM</t>
  </si>
  <si>
    <t>TOM WOLFE</t>
  </si>
  <si>
    <t>2406</t>
  </si>
  <si>
    <t>52n</t>
  </si>
  <si>
    <t>VALE</t>
  </si>
  <si>
    <t>WGO</t>
  </si>
  <si>
    <t>WEHANN GOUWS</t>
  </si>
  <si>
    <t>2407</t>
  </si>
  <si>
    <t>51n</t>
  </si>
  <si>
    <t>VALE CAPRE</t>
  </si>
  <si>
    <t>WJF</t>
  </si>
  <si>
    <t>WILLIAM FRYER</t>
  </si>
  <si>
    <t>2408</t>
  </si>
  <si>
    <t>50n</t>
  </si>
  <si>
    <t>WALLBRIDGE FENELON</t>
  </si>
  <si>
    <t>WALLBRIDGE</t>
  </si>
  <si>
    <t>WJO</t>
  </si>
  <si>
    <t>WILLIAM O'MARA</t>
  </si>
  <si>
    <t>2501</t>
  </si>
  <si>
    <t>49n</t>
  </si>
  <si>
    <t>WESTERN AREAS</t>
  </si>
  <si>
    <t>YEL</t>
  </si>
  <si>
    <t>YANGCHUN LI</t>
  </si>
  <si>
    <t>2502</t>
  </si>
  <si>
    <t>48n</t>
  </si>
  <si>
    <t>zzd</t>
  </si>
  <si>
    <t>zz down</t>
  </si>
  <si>
    <t>2503</t>
  </si>
  <si>
    <t>47n</t>
  </si>
  <si>
    <t>zzm</t>
  </si>
  <si>
    <t>zz middle</t>
  </si>
  <si>
    <t>2504</t>
  </si>
  <si>
    <t>46n</t>
  </si>
  <si>
    <t>zzt</t>
  </si>
  <si>
    <t>zz top</t>
  </si>
  <si>
    <t>45n</t>
  </si>
  <si>
    <t>44n</t>
  </si>
  <si>
    <t>43n</t>
  </si>
  <si>
    <t>42n</t>
  </si>
  <si>
    <t>41n</t>
  </si>
  <si>
    <t>40n</t>
  </si>
  <si>
    <t>39n</t>
  </si>
  <si>
    <t>38n</t>
  </si>
  <si>
    <t>37n</t>
  </si>
  <si>
    <t>36n</t>
  </si>
  <si>
    <t>35n</t>
  </si>
  <si>
    <t>34n</t>
  </si>
  <si>
    <t>33n</t>
  </si>
  <si>
    <t>32n</t>
  </si>
  <si>
    <t>31n</t>
  </si>
  <si>
    <t>30n</t>
  </si>
  <si>
    <t>29n</t>
  </si>
  <si>
    <t>28n</t>
  </si>
  <si>
    <t>27n</t>
  </si>
  <si>
    <t>26n</t>
  </si>
  <si>
    <t>25n</t>
  </si>
  <si>
    <t>24n</t>
  </si>
  <si>
    <t>23n</t>
  </si>
  <si>
    <t>22n</t>
  </si>
  <si>
    <t>21n</t>
  </si>
  <si>
    <t>20n</t>
  </si>
  <si>
    <t>19n</t>
  </si>
  <si>
    <t>18n</t>
  </si>
  <si>
    <t>17n</t>
  </si>
  <si>
    <t>16n</t>
  </si>
  <si>
    <t>15n</t>
  </si>
  <si>
    <t>14n</t>
  </si>
  <si>
    <t>13n</t>
  </si>
  <si>
    <t>12n</t>
  </si>
  <si>
    <t>11n</t>
  </si>
  <si>
    <t>10n</t>
  </si>
  <si>
    <t>9n</t>
  </si>
  <si>
    <t>8n</t>
  </si>
  <si>
    <t>7n</t>
  </si>
  <si>
    <t>6n</t>
  </si>
  <si>
    <t>5n</t>
  </si>
  <si>
    <t>4n</t>
  </si>
  <si>
    <t>3n</t>
  </si>
  <si>
    <t>2n</t>
  </si>
  <si>
    <t>1n</t>
  </si>
  <si>
    <t>HoleName</t>
  </si>
  <si>
    <t>PEGNUMBER</t>
  </si>
  <si>
    <t>Field_ID</t>
  </si>
  <si>
    <t>Location</t>
  </si>
  <si>
    <t>State_Prov</t>
  </si>
  <si>
    <t>JobNo</t>
  </si>
  <si>
    <t>Crew</t>
  </si>
  <si>
    <t>CompletedHole</t>
  </si>
  <si>
    <t>BitSize</t>
  </si>
  <si>
    <t>DrillersTD</t>
  </si>
  <si>
    <t>LoggerTD</t>
  </si>
  <si>
    <t>CasingOD</t>
  </si>
  <si>
    <t>DrillerCasing</t>
  </si>
  <si>
    <t>LoggerCasing</t>
  </si>
  <si>
    <t>ElevGL</t>
  </si>
  <si>
    <t>ElevDF</t>
  </si>
  <si>
    <t>ElevKB</t>
  </si>
  <si>
    <t>DrillDepthfrom</t>
  </si>
  <si>
    <t>LogDepthFrom</t>
  </si>
  <si>
    <t>PlannedDip</t>
  </si>
  <si>
    <t>PlannedAzimuth</t>
  </si>
  <si>
    <t>FluidLevel</t>
  </si>
  <si>
    <t>MudRes</t>
  </si>
  <si>
    <t>MudTemp</t>
  </si>
  <si>
    <t>FluidType</t>
  </si>
  <si>
    <t>RigNumber</t>
  </si>
  <si>
    <t>MagDec</t>
  </si>
  <si>
    <t>SPLEFT</t>
  </si>
  <si>
    <t>SPRIGHT</t>
  </si>
  <si>
    <t>REPEATTOP</t>
  </si>
  <si>
    <t>REPEATBOTTOM</t>
  </si>
  <si>
    <t>REMARKS1</t>
  </si>
  <si>
    <t>REMARKS2</t>
  </si>
  <si>
    <t>REMARKS3</t>
  </si>
  <si>
    <t>REMARKS4</t>
  </si>
  <si>
    <t>REMARKS5</t>
  </si>
  <si>
    <t>REMARKS6</t>
  </si>
  <si>
    <t>OpticalBoreholeVisibility</t>
  </si>
  <si>
    <t>OpticalWaterClarity</t>
  </si>
  <si>
    <t>FluidDENSITY</t>
  </si>
  <si>
    <t>SALINITY</t>
  </si>
  <si>
    <t>RMat25</t>
  </si>
  <si>
    <t>RMFat25</t>
  </si>
  <si>
    <t>RMCat25</t>
  </si>
  <si>
    <t>TIMESINCECIRC</t>
  </si>
  <si>
    <t>stopcirc</t>
  </si>
  <si>
    <t>BHT</t>
  </si>
  <si>
    <t>HEADERGL</t>
  </si>
  <si>
    <t>HEADERDF</t>
  </si>
  <si>
    <t>HEADERKB</t>
  </si>
  <si>
    <t>Drillmeasuredfrom</t>
  </si>
  <si>
    <t>Logmeasuredfrom</t>
  </si>
  <si>
    <t>Inrod_Openhole_Cased_PVC</t>
  </si>
  <si>
    <t>TOPDepth</t>
  </si>
  <si>
    <t>BottomDepth_OpenHole_</t>
  </si>
  <si>
    <t>BottomDepth_Allruns_</t>
  </si>
  <si>
    <t>LastLogDate</t>
  </si>
  <si>
    <t>DetailTop1</t>
  </si>
  <si>
    <t>DetailBottom1</t>
  </si>
  <si>
    <t>DetailTop2</t>
  </si>
  <si>
    <t>DetailBottom2</t>
  </si>
  <si>
    <t>DetailTop3</t>
  </si>
  <si>
    <t>DetailBottom3</t>
  </si>
  <si>
    <t>DetailTop4</t>
  </si>
  <si>
    <t>DetailBottom4</t>
  </si>
  <si>
    <t>DetailTop5</t>
  </si>
  <si>
    <t>DetailBottom5</t>
  </si>
  <si>
    <t>DetailTop6</t>
  </si>
  <si>
    <t>DetailBottom6</t>
  </si>
  <si>
    <t>DetailTop7</t>
  </si>
  <si>
    <t>DetailBottom7</t>
  </si>
  <si>
    <t>DetailTop8</t>
  </si>
  <si>
    <t>DetailBottom8</t>
  </si>
  <si>
    <t>DetailTop9</t>
  </si>
  <si>
    <t>DetailBottom9</t>
  </si>
  <si>
    <t>DetailTop10</t>
  </si>
  <si>
    <t>DetailBottom10</t>
  </si>
  <si>
    <t>DetailTop11</t>
  </si>
  <si>
    <t>DetailBottom11</t>
  </si>
  <si>
    <t>DetailTop12</t>
  </si>
  <si>
    <t>DetailBottom12</t>
  </si>
  <si>
    <t>DetailTop13</t>
  </si>
  <si>
    <t>DetailBottom13</t>
  </si>
  <si>
    <t>DetailTop14</t>
  </si>
  <si>
    <t>DetailBottom14</t>
  </si>
  <si>
    <t>DetailTop15</t>
  </si>
  <si>
    <t>DetailBottom15</t>
  </si>
  <si>
    <t>HeaderRigStickup</t>
  </si>
  <si>
    <t>HeaderCasingStickup</t>
  </si>
  <si>
    <t>LASRigStickup</t>
  </si>
  <si>
    <t>LASCasingStickup</t>
  </si>
  <si>
    <t>LASFluidDensity</t>
  </si>
  <si>
    <t>DCTCALINFO</t>
  </si>
  <si>
    <t>NDECALINFO</t>
  </si>
  <si>
    <t>CASINGTYPE</t>
  </si>
  <si>
    <t>CASINGTHICKNESS</t>
  </si>
  <si>
    <t>PRODCASINGOD</t>
  </si>
  <si>
    <t>CompanyCode</t>
  </si>
  <si>
    <t>OthercommentsLine1</t>
  </si>
  <si>
    <t>OthercommentsLine2</t>
  </si>
  <si>
    <t>OthercommentsLine3</t>
  </si>
  <si>
    <t>RTIOHUB</t>
  </si>
  <si>
    <t>RTXDATE</t>
  </si>
  <si>
    <t>NeutronSourceUsed</t>
  </si>
  <si>
    <t>DensitySourceUsed</t>
  </si>
  <si>
    <t>COMPANYDIVISION</t>
  </si>
  <si>
    <t>PADCONDITION</t>
  </si>
  <si>
    <t>FIELD</t>
  </si>
  <si>
    <t>COMPANYDIVISIONa</t>
  </si>
  <si>
    <t>COMPANYDIVISIONb</t>
  </si>
  <si>
    <t>COMPANYDIVISIONC</t>
  </si>
  <si>
    <t>GyroOp</t>
  </si>
  <si>
    <t>InrodOp</t>
  </si>
  <si>
    <t>OpenOp</t>
  </si>
  <si>
    <t>GyroUnit</t>
  </si>
  <si>
    <t>InRodUnit</t>
  </si>
  <si>
    <t>OpenUnit</t>
  </si>
  <si>
    <t>InRod Gamma Depth</t>
  </si>
  <si>
    <t>HDRFluidLevel</t>
  </si>
  <si>
    <t>Gyrodate</t>
  </si>
  <si>
    <t>InRodDate</t>
  </si>
  <si>
    <t>Gyrocommentline1</t>
  </si>
  <si>
    <t>Gyrocommentline2</t>
  </si>
  <si>
    <t>GyroAPSbearing</t>
  </si>
  <si>
    <t>GyroAPSSignal</t>
  </si>
  <si>
    <t>GyroCompassbearing</t>
  </si>
  <si>
    <t>HandheldGPSGyroRef</t>
  </si>
  <si>
    <t>HandheldGPSGyroEasting</t>
  </si>
  <si>
    <t>HandheldGPSGyroNorthing</t>
  </si>
  <si>
    <t>HandheldGPSSighterReference</t>
  </si>
  <si>
    <t>HandheldGPSSighterEasting</t>
  </si>
  <si>
    <t>HandheldGPSSighterNorthing</t>
  </si>
  <si>
    <t>HandheldGPSdE</t>
  </si>
  <si>
    <t>HandheldGPSdN</t>
  </si>
  <si>
    <t>HandheldGPSDistance</t>
  </si>
  <si>
    <t>HandheldGPSBearing</t>
  </si>
  <si>
    <t>FluidVIS</t>
  </si>
  <si>
    <t>RunID</t>
  </si>
  <si>
    <t>DGPSGyroRef</t>
  </si>
  <si>
    <t>DGPSGyroEasting</t>
  </si>
  <si>
    <t>DGPSGyroNorthing</t>
  </si>
  <si>
    <t>DGPSSighterReference</t>
  </si>
  <si>
    <t>DGPSSighterEasting</t>
  </si>
  <si>
    <t>DGPSSighterNorthing</t>
  </si>
  <si>
    <t>DGPSdE</t>
  </si>
  <si>
    <t>DGPSdN</t>
  </si>
  <si>
    <t>DGPSDistance</t>
  </si>
  <si>
    <t>DGPSBearing</t>
  </si>
  <si>
    <t>HDRDrillmeasuredfrom</t>
  </si>
  <si>
    <t>HDRLogmeasuredfrom</t>
  </si>
  <si>
    <t>SPMGyroTotalDrift</t>
  </si>
  <si>
    <t>SPMGyroSurveyTime</t>
  </si>
  <si>
    <t>SPMGyroDriftMin</t>
  </si>
  <si>
    <t>SPMGyroDriftHour</t>
  </si>
  <si>
    <t>SPMGyroDriftBust</t>
  </si>
  <si>
    <t xml:space="preserve">ImageUnit </t>
  </si>
  <si>
    <t>ImageOp</t>
  </si>
  <si>
    <t>MEMSGyroInrunRotation</t>
  </si>
  <si>
    <t>MEMSGyroOutrunRotation</t>
  </si>
  <si>
    <t>MEMSGyroInrunStartAzi</t>
  </si>
  <si>
    <t>MEMSGyroOutrunStartAzi</t>
  </si>
  <si>
    <t>MEMSGyroInvsOut</t>
  </si>
  <si>
    <t>Caldate1</t>
  </si>
  <si>
    <t>CalType1</t>
  </si>
  <si>
    <t>CalSerial1</t>
  </si>
  <si>
    <t>CalSource1</t>
  </si>
  <si>
    <t>CalUnit1</t>
  </si>
  <si>
    <t>CalHoleNme1</t>
  </si>
  <si>
    <t>Caldate2</t>
  </si>
  <si>
    <t>CalType2</t>
  </si>
  <si>
    <t>CalSerial2</t>
  </si>
  <si>
    <t>CalSource2</t>
  </si>
  <si>
    <t>CalUnit2</t>
  </si>
  <si>
    <t>CalHoleNme2</t>
  </si>
  <si>
    <t>Caldate3</t>
  </si>
  <si>
    <t>CalType3</t>
  </si>
  <si>
    <t>CalSerial3</t>
  </si>
  <si>
    <t>CalSource3</t>
  </si>
  <si>
    <t>CalUnit3</t>
  </si>
  <si>
    <t>CalHoleNme3</t>
  </si>
  <si>
    <t>Caldate4</t>
  </si>
  <si>
    <t>CalType4</t>
  </si>
  <si>
    <t>CalSerial4</t>
  </si>
  <si>
    <t>CalSource4</t>
  </si>
  <si>
    <t>CalUnit4</t>
  </si>
  <si>
    <t>CalHoleNme4</t>
  </si>
  <si>
    <t>DPCcomments</t>
  </si>
  <si>
    <t>DataProcessingComplete</t>
  </si>
  <si>
    <t>GeophysicsUploaded</t>
  </si>
  <si>
    <t>GyroUploaded</t>
  </si>
  <si>
    <t>BHTVUploaded</t>
  </si>
  <si>
    <t>OPTVUploaded</t>
  </si>
  <si>
    <t>MCSTUploaded</t>
  </si>
  <si>
    <t>TGTUploaded</t>
  </si>
  <si>
    <t>_9012InRodToolSerial</t>
  </si>
  <si>
    <t>OBISerialNo</t>
  </si>
  <si>
    <t>ABISerialNo</t>
  </si>
  <si>
    <t>_9098SerialNo</t>
  </si>
  <si>
    <t>TGTSerialNo</t>
  </si>
  <si>
    <t>_9012SerialNumber</t>
  </si>
  <si>
    <t>_9012Sourcenumber</t>
  </si>
  <si>
    <t>_9012SurveyType</t>
  </si>
  <si>
    <t>_9012ToolHangup</t>
  </si>
  <si>
    <t>_9012Date</t>
  </si>
  <si>
    <t>_9012Operator</t>
  </si>
  <si>
    <t>_9012LoggingUnit</t>
  </si>
  <si>
    <t>_9012Starttime</t>
  </si>
  <si>
    <t>_9012Finishtime</t>
  </si>
  <si>
    <t>_9012Depthtop</t>
  </si>
  <si>
    <t>_9012DepthBottom</t>
  </si>
  <si>
    <t>_9012DepthCorrectioncalculated</t>
  </si>
  <si>
    <t>_9012DepthCorrectionApplied</t>
  </si>
  <si>
    <t>_9057SerialNumber</t>
  </si>
  <si>
    <t>_9057Sourcenumber</t>
  </si>
  <si>
    <t>_9057SurveyType</t>
  </si>
  <si>
    <t>_9057ToolHangup</t>
  </si>
  <si>
    <t>_9057Date</t>
  </si>
  <si>
    <t>_9057Operator</t>
  </si>
  <si>
    <t>_9057LoggingUnit</t>
  </si>
  <si>
    <t>_9057Starttime</t>
  </si>
  <si>
    <t>_9057Finishtime</t>
  </si>
  <si>
    <t>_9057Depthtop</t>
  </si>
  <si>
    <t>_9057DepthBottom</t>
  </si>
  <si>
    <t>_9057DepthCorrectioncalculated</t>
  </si>
  <si>
    <t>_9057DepthCorrectionApplied</t>
  </si>
  <si>
    <t>_9238SerialNumber</t>
  </si>
  <si>
    <t>_9238Sourcenumber</t>
  </si>
  <si>
    <t>_9238SurveyType</t>
  </si>
  <si>
    <t>_9238ToolHangup</t>
  </si>
  <si>
    <t>_9238Date</t>
  </si>
  <si>
    <t>_9238Operator</t>
  </si>
  <si>
    <t>_9238LoggingUnit</t>
  </si>
  <si>
    <t>_9238Starttime</t>
  </si>
  <si>
    <t>_9238Finishtime</t>
  </si>
  <si>
    <t>_9238Depthtop</t>
  </si>
  <si>
    <t>_9238DepthBottom</t>
  </si>
  <si>
    <t>_9238DepthCorrectioncalculated</t>
  </si>
  <si>
    <t>_9238DepthCorrectionApplied</t>
  </si>
  <si>
    <t>_9239SerialNumber</t>
  </si>
  <si>
    <t>_9239Sourcenumber</t>
  </si>
  <si>
    <t>_9239SurveyType</t>
  </si>
  <si>
    <t>_9239ToolHangup</t>
  </si>
  <si>
    <t>_9239Date</t>
  </si>
  <si>
    <t>_9239Operator</t>
  </si>
  <si>
    <t>_9239LoggingUnit</t>
  </si>
  <si>
    <t>_9239Starttime</t>
  </si>
  <si>
    <t>_9239Finishtime</t>
  </si>
  <si>
    <t>_9239Depthtop</t>
  </si>
  <si>
    <t>_9239DepthBottom</t>
  </si>
  <si>
    <t>_9239DepthCorrectioncalculated</t>
  </si>
  <si>
    <t>_9239DepthCorrectionApplied</t>
  </si>
  <si>
    <t>_9321SerialNumber</t>
  </si>
  <si>
    <t>_9321Sourcenumber</t>
  </si>
  <si>
    <t>_9321SurveyType</t>
  </si>
  <si>
    <t>_9321ToolHangup</t>
  </si>
  <si>
    <t>_9321Date</t>
  </si>
  <si>
    <t>_9321Operator</t>
  </si>
  <si>
    <t>_9321LoggingUnit</t>
  </si>
  <si>
    <t>_9321Starttime</t>
  </si>
  <si>
    <t>_9321Finishtime</t>
  </si>
  <si>
    <t>_9321Depthtop</t>
  </si>
  <si>
    <t>_9321DepthBottom</t>
  </si>
  <si>
    <t>_9321DepthCorrectioncalculated</t>
  </si>
  <si>
    <t>_9321DepthCorrectionApplied</t>
  </si>
  <si>
    <t>MCSTSerialNumber</t>
  </si>
  <si>
    <t>MCSTSourcenumber</t>
  </si>
  <si>
    <t>MCSTSurveyType</t>
  </si>
  <si>
    <t>MCSTToolHangup</t>
  </si>
  <si>
    <t>MCSTDate</t>
  </si>
  <si>
    <t>MCSTOperator</t>
  </si>
  <si>
    <t>MCSTLoggingUnit</t>
  </si>
  <si>
    <t>MCSTStarttime</t>
  </si>
  <si>
    <t>MCSTFinishtime</t>
  </si>
  <si>
    <t>MCSTDepthtop</t>
  </si>
  <si>
    <t>MCSTDepthBottom</t>
  </si>
  <si>
    <t>MCSTDepthCorrectioncalculated</t>
  </si>
  <si>
    <t>MCSTDepthCorrectionApplied</t>
  </si>
  <si>
    <t>_9510SerialNumber</t>
  </si>
  <si>
    <t>_9510Sourcenumber</t>
  </si>
  <si>
    <t>_9510SurveyType</t>
  </si>
  <si>
    <t>_9510ToolHangup</t>
  </si>
  <si>
    <t>_9510Date</t>
  </si>
  <si>
    <t>_9510Operator</t>
  </si>
  <si>
    <t>_9510LoggingUnit</t>
  </si>
  <si>
    <t>_9510Starttime</t>
  </si>
  <si>
    <t>_9510Finishtime</t>
  </si>
  <si>
    <t>_9510Depthtop</t>
  </si>
  <si>
    <t>_9510DepthBottom</t>
  </si>
  <si>
    <t>_9510DepthCorrectioncalculated</t>
  </si>
  <si>
    <t>_9510DepthCorrectionApplied</t>
  </si>
  <si>
    <t>_9622SerialNumber</t>
  </si>
  <si>
    <t>_9622Sourcenumber</t>
  </si>
  <si>
    <t>_9622SurveyType</t>
  </si>
  <si>
    <t>_9622ToolHangup</t>
  </si>
  <si>
    <t>_9622Date</t>
  </si>
  <si>
    <t>_9622Operator</t>
  </si>
  <si>
    <t>_9622LoggingUnit</t>
  </si>
  <si>
    <t>_9622Starttime</t>
  </si>
  <si>
    <t>_9622Finishtime</t>
  </si>
  <si>
    <t>_9622Depthtop</t>
  </si>
  <si>
    <t>_9622DepthBottom</t>
  </si>
  <si>
    <t>_9622DepthCorrectioncalculated</t>
  </si>
  <si>
    <t>_9622DepthCorrectionApplied</t>
  </si>
  <si>
    <t>ABISerialNumber</t>
  </si>
  <si>
    <t>ABISourcenumber</t>
  </si>
  <si>
    <t>ABISurveyType</t>
  </si>
  <si>
    <t>ABIToolHangup</t>
  </si>
  <si>
    <t>ABIDate</t>
  </si>
  <si>
    <t>ABIOperator</t>
  </si>
  <si>
    <t>ABILoggingUnit</t>
  </si>
  <si>
    <t>ABIStarttime</t>
  </si>
  <si>
    <t>ABIFinishtime</t>
  </si>
  <si>
    <t>ABIDepthtop</t>
  </si>
  <si>
    <t>ABIDepthBottom</t>
  </si>
  <si>
    <t>ABIDepthCorrectioncalculated</t>
  </si>
  <si>
    <t>ABIDepthCorrectionApplied</t>
  </si>
  <si>
    <t>OBISerialNumber</t>
  </si>
  <si>
    <t>OBISourcenumber</t>
  </si>
  <si>
    <t>OBISurveyType</t>
  </si>
  <si>
    <t>OBIToolHangup</t>
  </si>
  <si>
    <t>OBIDate</t>
  </si>
  <si>
    <t>OBIOperator</t>
  </si>
  <si>
    <t>OBILoggingUnit</t>
  </si>
  <si>
    <t>OBIStarttime</t>
  </si>
  <si>
    <t>OBIFinishtime</t>
  </si>
  <si>
    <t>OBIDepthtop</t>
  </si>
  <si>
    <t>OBIDepthBottom</t>
  </si>
  <si>
    <t>OBIDepthCorrectioncalculated</t>
  </si>
  <si>
    <t>OBIDepthCorrectionApplied</t>
  </si>
  <si>
    <t>GYRO_9098SerialNumber</t>
  </si>
  <si>
    <t>GYRO_9098Sourcenumber</t>
  </si>
  <si>
    <t>GYRO_9098SurveyType</t>
  </si>
  <si>
    <t>GYRO_9098ToolHangup</t>
  </si>
  <si>
    <t>GYRO_9098Date</t>
  </si>
  <si>
    <t>GYRO_9098Operator</t>
  </si>
  <si>
    <t>GYRO_9098LoggingUnit</t>
  </si>
  <si>
    <t>GYRO_9098Starttime</t>
  </si>
  <si>
    <t>GYRO_9098Finishtime</t>
  </si>
  <si>
    <t>GYRO_9098Depthtop</t>
  </si>
  <si>
    <t>GYRO_9098DepthBottom</t>
  </si>
  <si>
    <t>GYRO_9098DepthCorrectioncalculated</t>
  </si>
  <si>
    <t>GYRO_9098DepthCorrectionApplied</t>
  </si>
  <si>
    <t>GYRO_MemsSerialNumber</t>
  </si>
  <si>
    <t>GYRO_MemsSourcenumber</t>
  </si>
  <si>
    <t>GYRO_MemsSurveyType</t>
  </si>
  <si>
    <t>GYRO_MemsToolHangup</t>
  </si>
  <si>
    <t>GYRO_MemsDate</t>
  </si>
  <si>
    <t>GYRO_MemsOperator</t>
  </si>
  <si>
    <t>GYRO_MemsLoggingUnit</t>
  </si>
  <si>
    <t>GYRO_MemsStarttime</t>
  </si>
  <si>
    <t>GYRO_MemsFinishtime</t>
  </si>
  <si>
    <t>GYRO_MemsDepthtop</t>
  </si>
  <si>
    <t>GYRO_MemsDepthBottom</t>
  </si>
  <si>
    <t>GYRO_MemsDepthCorrectioncalculated</t>
  </si>
  <si>
    <t>GYRO_MemsDepthCorrectionApplied</t>
  </si>
  <si>
    <t>GYRO_NorthSerialNumber</t>
  </si>
  <si>
    <t>GYRO_NorthSourcenumber</t>
  </si>
  <si>
    <t>GYRO_NorthSurveyType</t>
  </si>
  <si>
    <t>GYRO_NorthToolHangup</t>
  </si>
  <si>
    <t>GYRO_NorthDate</t>
  </si>
  <si>
    <t>GYRO_NorthOperator</t>
  </si>
  <si>
    <t>GYRO_NorthLoggingUnit</t>
  </si>
  <si>
    <t>GYRO_NorthStarttime</t>
  </si>
  <si>
    <t>GYRO_NorthFinishtime</t>
  </si>
  <si>
    <t>GYRO_NorthDepthtop</t>
  </si>
  <si>
    <t>GYRO_NorthDepthBottom</t>
  </si>
  <si>
    <t>GYRO_NorthDepthCorrectioncalculated</t>
  </si>
  <si>
    <t>GYRO_NorthDepthCorrectionApplied</t>
  </si>
  <si>
    <t>TGTSerialNumber</t>
  </si>
  <si>
    <t>TGTSourcenumber</t>
  </si>
  <si>
    <t>TGTSurveyType</t>
  </si>
  <si>
    <t>TGTToolHangup</t>
  </si>
  <si>
    <t>TGTDate</t>
  </si>
  <si>
    <t>TGTOperator</t>
  </si>
  <si>
    <t>TGTLoggingUnit</t>
  </si>
  <si>
    <t>TGTStarttime</t>
  </si>
  <si>
    <t>TGTFinishtime</t>
  </si>
  <si>
    <t>TGTDepthtop</t>
  </si>
  <si>
    <t>TGTDepthBottom</t>
  </si>
  <si>
    <t>TGTDepthCorrectioncalculated</t>
  </si>
  <si>
    <t>TGTDepthCorrectionApplied</t>
  </si>
  <si>
    <t>_3ACSerialNumber</t>
  </si>
  <si>
    <t>_3ACSourcenumber</t>
  </si>
  <si>
    <t>_3ACSurveyType</t>
  </si>
  <si>
    <t>_3ACToolHangup</t>
  </si>
  <si>
    <t>_3ACDate</t>
  </si>
  <si>
    <t>_3ACOperator</t>
  </si>
  <si>
    <t>_3ACLoggingUnit</t>
  </si>
  <si>
    <t>_3ACStarttime</t>
  </si>
  <si>
    <t>_3ACFinishtime</t>
  </si>
  <si>
    <t>_3ACDepthtop</t>
  </si>
  <si>
    <t>_3ACDepthBottom</t>
  </si>
  <si>
    <t>_3ACDepthCorrectioncalculated</t>
  </si>
  <si>
    <t>_3ACDepthCorrectionApplied</t>
  </si>
  <si>
    <t>XRFSerialNumber</t>
  </si>
  <si>
    <t>XRFSourcenumber</t>
  </si>
  <si>
    <t>XRFSurveyType</t>
  </si>
  <si>
    <t>XRFToolHangup</t>
  </si>
  <si>
    <t>XRFDate</t>
  </si>
  <si>
    <t>XRFOperator</t>
  </si>
  <si>
    <t>XRFLoggingUnit</t>
  </si>
  <si>
    <t>XRFStarttime</t>
  </si>
  <si>
    <t>XRFFinishtime</t>
  </si>
  <si>
    <t>XRFDepthtop</t>
  </si>
  <si>
    <t>XRFDepthBottom</t>
  </si>
  <si>
    <t>XRFDepthCorrectioncalculated</t>
  </si>
  <si>
    <t>XRFDepthCorrectionApplied</t>
  </si>
  <si>
    <t>GVGammaSerialNumber</t>
  </si>
  <si>
    <t>GVGammaSourcenumber</t>
  </si>
  <si>
    <t>GVGammaSurveyType</t>
  </si>
  <si>
    <t>GVGammaToolHangup</t>
  </si>
  <si>
    <t>GVGammaDate</t>
  </si>
  <si>
    <t>GVGammaOperator</t>
  </si>
  <si>
    <t>GVGammaLoggingUnit</t>
  </si>
  <si>
    <t>GVGammaStarttime</t>
  </si>
  <si>
    <t>GVGammaFinishtime</t>
  </si>
  <si>
    <t>GVGammaDepthtop</t>
  </si>
  <si>
    <t>GVGammaDepthBottom</t>
  </si>
  <si>
    <t>GVGammaDepthCorrectioncalculated</t>
  </si>
  <si>
    <t>GVGammaDepthCorrectionApplied</t>
  </si>
  <si>
    <t>SpectralGammaSerialNumber</t>
  </si>
  <si>
    <t>SpectralGammaSourcenumber</t>
  </si>
  <si>
    <t>SpectralGammaSurveyType</t>
  </si>
  <si>
    <t>SpectralGammaToolHangup</t>
  </si>
  <si>
    <t>SpectralGammaDate</t>
  </si>
  <si>
    <t>SpectralGammaOperator</t>
  </si>
  <si>
    <t>SpectralGammaLoggingUnit</t>
  </si>
  <si>
    <t>SpectralGammaStarttime</t>
  </si>
  <si>
    <t>SpectralGammaFinishtime</t>
  </si>
  <si>
    <t>SpectralGammaDepthtop</t>
  </si>
  <si>
    <t>SpectralGammaDepthBottom</t>
  </si>
  <si>
    <t>SpectralGammaDepthCorrectioncalculated</t>
  </si>
  <si>
    <t>SpectralGammaDepthCorrectionApplied</t>
  </si>
  <si>
    <t>IPSerialNumber</t>
  </si>
  <si>
    <t>IPSourcenumber</t>
  </si>
  <si>
    <t>IPSurveyType</t>
  </si>
  <si>
    <t>IPToolHangup</t>
  </si>
  <si>
    <t>IPDate</t>
  </si>
  <si>
    <t>IPOperator</t>
  </si>
  <si>
    <t>IPLoggingUnit</t>
  </si>
  <si>
    <t>IPStarttime</t>
  </si>
  <si>
    <t>IPFinishtime</t>
  </si>
  <si>
    <t>IPDepthtop</t>
  </si>
  <si>
    <t>IPDepthBottom</t>
  </si>
  <si>
    <t>IPDepthCorrectioncalculated</t>
  </si>
  <si>
    <t>IPDepthCorrectionApplied</t>
  </si>
  <si>
    <t>IRDSerialNumber</t>
  </si>
  <si>
    <t>IRDSourcenumber</t>
  </si>
  <si>
    <t>IRDSurveyType</t>
  </si>
  <si>
    <t>IRDToolHangup</t>
  </si>
  <si>
    <t>IRDDate</t>
  </si>
  <si>
    <t>IRDOperator</t>
  </si>
  <si>
    <t>IRDLoggingUnit</t>
  </si>
  <si>
    <t>IRDStarttime</t>
  </si>
  <si>
    <t>IRDFinishtime</t>
  </si>
  <si>
    <t>IRDDepthtop</t>
  </si>
  <si>
    <t>IRDDepthBottom</t>
  </si>
  <si>
    <t>IRDDepthCorrectioncalculated</t>
  </si>
  <si>
    <t>IRDDepthCorrectionApplied</t>
  </si>
  <si>
    <t>NMRSerialNumber</t>
  </si>
  <si>
    <t>NMRSourcenumber</t>
  </si>
  <si>
    <t>NMRSurveyType</t>
  </si>
  <si>
    <t>NMRToolHangup</t>
  </si>
  <si>
    <t>NMRDate</t>
  </si>
  <si>
    <t>NMROperator</t>
  </si>
  <si>
    <t>NMRLoggingUnit</t>
  </si>
  <si>
    <t>NMRStarttime</t>
  </si>
  <si>
    <t>NMRFinishtime</t>
  </si>
  <si>
    <t>NMRDepthtop</t>
  </si>
  <si>
    <t>NMRDepthBottom</t>
  </si>
  <si>
    <t>NMRDepthCorrectioncalculated</t>
  </si>
  <si>
    <t>NMRDepthCorrectionApplied</t>
  </si>
  <si>
    <t>FLOWSerialNumber</t>
  </si>
  <si>
    <t>FLOWSourcenumber</t>
  </si>
  <si>
    <t>FLOWSurveyType</t>
  </si>
  <si>
    <t>FLOWToolHangup</t>
  </si>
  <si>
    <t>FLOWDate</t>
  </si>
  <si>
    <t>FLOWOperator</t>
  </si>
  <si>
    <t>FLOWLoggingUnit</t>
  </si>
  <si>
    <t>FLOWStarttime</t>
  </si>
  <si>
    <t>FLOWFinishtime</t>
  </si>
  <si>
    <t>FLOWDepthtop</t>
  </si>
  <si>
    <t>FLOWDepthBottom</t>
  </si>
  <si>
    <t>FLOWDepthCorrectioncalculated</t>
  </si>
  <si>
    <t>FLOWDepthCorrectionApplied</t>
  </si>
  <si>
    <t>DHEMSerialNumber</t>
  </si>
  <si>
    <t>DHEMSourcenumber</t>
  </si>
  <si>
    <t>DHEMSurveyType</t>
  </si>
  <si>
    <t>DHEMToolHangup</t>
  </si>
  <si>
    <t>DHEMDate</t>
  </si>
  <si>
    <t>DHEMOperator</t>
  </si>
  <si>
    <t>DHEMLoggingUnit</t>
  </si>
  <si>
    <t>DHEMStarttime</t>
  </si>
  <si>
    <t>DHEMFinishtime</t>
  </si>
  <si>
    <t>DHEMDepthtop</t>
  </si>
  <si>
    <t>DHEMDepthBottom</t>
  </si>
  <si>
    <t>DHEMDepthCorrectioncalculated</t>
  </si>
  <si>
    <t>DHEMDepthCorrectionApplied</t>
  </si>
  <si>
    <t>TDEVSerialNumber</t>
  </si>
  <si>
    <t>TDEVSourcenumber</t>
  </si>
  <si>
    <t>TDEVSurveyType</t>
  </si>
  <si>
    <t>TDEVToolHangup</t>
  </si>
  <si>
    <t>TDEVDate</t>
  </si>
  <si>
    <t>TDEVOperator</t>
  </si>
  <si>
    <t>TDEVLoggingUnit</t>
  </si>
  <si>
    <t>TDEVStarttime</t>
  </si>
  <si>
    <t>TDEVFinishtime</t>
  </si>
  <si>
    <t>TDEVDepthtop</t>
  </si>
  <si>
    <t>TDEVDepthBottom</t>
  </si>
  <si>
    <t>TDEVDepthCorrectioncalculated</t>
  </si>
  <si>
    <t>TDEVDepthCorrectionApplied</t>
  </si>
  <si>
    <t>M_Easting</t>
  </si>
  <si>
    <t>M_Northing</t>
  </si>
  <si>
    <t>GridZone</t>
  </si>
  <si>
    <t>DummySerialNumber</t>
  </si>
  <si>
    <t>DummySurveyType</t>
  </si>
  <si>
    <t>DummyToolHangup</t>
  </si>
  <si>
    <t>DummyDate</t>
  </si>
  <si>
    <t>DummyOperator</t>
  </si>
  <si>
    <t>DummyLoggingUnit</t>
  </si>
  <si>
    <t>DummyStarttime</t>
  </si>
  <si>
    <t>DummyFinishtime</t>
  </si>
  <si>
    <t>DummyDepthtop</t>
  </si>
  <si>
    <t>DummyDepthBottom</t>
  </si>
  <si>
    <t>DGPSSerialNumber</t>
  </si>
  <si>
    <t>DGPSSurveyType</t>
  </si>
  <si>
    <t>DGPSDate</t>
  </si>
  <si>
    <t>DGPSOperator</t>
  </si>
  <si>
    <t>DGPSLoggingUnit</t>
  </si>
  <si>
    <t>DGPSStarttime</t>
  </si>
  <si>
    <t>DGPSFinishtime</t>
  </si>
  <si>
    <t>Cal1_CPS_lo</t>
  </si>
  <si>
    <t>Cal1_CPS_hi</t>
  </si>
  <si>
    <t>Cal2_CPS_lo</t>
  </si>
  <si>
    <t>Cal2_CPS_hi</t>
  </si>
  <si>
    <t>Cal3_CPS_lo</t>
  </si>
  <si>
    <t>Cal3_CPS_hi</t>
  </si>
  <si>
    <t>Cal4_CPS_lo</t>
  </si>
  <si>
    <t>Cal4_CPS_hi</t>
  </si>
  <si>
    <t xml:space="preserve">PWS </t>
  </si>
  <si>
    <t>Tenement ID</t>
  </si>
  <si>
    <t>PEG No.</t>
  </si>
  <si>
    <t>Drilled Depth</t>
  </si>
  <si>
    <t>Inrod Date</t>
  </si>
  <si>
    <t>InRod Operator</t>
  </si>
  <si>
    <t>InRods Truck Number</t>
  </si>
  <si>
    <t>Magnetic Susceptibility Date</t>
  </si>
  <si>
    <t>Density Date</t>
  </si>
  <si>
    <t>Open Hole Operator</t>
  </si>
  <si>
    <t>Open Hole Truck Number</t>
  </si>
  <si>
    <t>OTV Date</t>
  </si>
  <si>
    <t>ATV Date</t>
  </si>
  <si>
    <t>Image Operator</t>
  </si>
  <si>
    <t>Image Truck Number</t>
  </si>
  <si>
    <t>Completed Hole?</t>
  </si>
  <si>
    <t>Comments Line 1</t>
  </si>
  <si>
    <t>Comments Line 2</t>
  </si>
  <si>
    <t>Comments Line 3</t>
  </si>
  <si>
    <t>Comments Line 4</t>
  </si>
  <si>
    <t>TGT Depth</t>
  </si>
  <si>
    <t xml:space="preserve">TGT Date </t>
  </si>
  <si>
    <t>TGT Operator</t>
  </si>
  <si>
    <t>Service Co</t>
  </si>
  <si>
    <t>Truck Number</t>
  </si>
  <si>
    <t>GYRO Depth</t>
  </si>
  <si>
    <t>GYRO Date</t>
  </si>
  <si>
    <t>GYRO Operator</t>
  </si>
  <si>
    <t xml:space="preserve"> Truck Number</t>
  </si>
  <si>
    <t>Gyro hang up in rods</t>
  </si>
  <si>
    <t>Mag Susc Date</t>
  </si>
  <si>
    <t>Mag Susc Depth</t>
  </si>
  <si>
    <t>Density Depth</t>
  </si>
  <si>
    <t>Conductivity  Date</t>
  </si>
  <si>
    <t>Conductivity Depth</t>
  </si>
  <si>
    <t>Service Company</t>
  </si>
  <si>
    <t>OTV date</t>
  </si>
  <si>
    <t>OTV depth</t>
  </si>
  <si>
    <t>OTV Op</t>
  </si>
  <si>
    <t>ATV date</t>
  </si>
  <si>
    <t>ATV Depth</t>
  </si>
  <si>
    <t>ATV OP</t>
  </si>
  <si>
    <t>Approx Water Table Depth</t>
  </si>
  <si>
    <t>Steel Casing Depth</t>
  </si>
  <si>
    <t>Gyro?</t>
  </si>
  <si>
    <t>Pad Condition WHEN LEFT</t>
  </si>
  <si>
    <t>Logging Operator Comments</t>
  </si>
  <si>
    <t>% hole open hole logged</t>
  </si>
  <si>
    <t>Density Tool no</t>
  </si>
  <si>
    <t>Density Source No</t>
  </si>
  <si>
    <t>Triple GAMMA Tool No</t>
  </si>
  <si>
    <t>K_factor</t>
  </si>
  <si>
    <t>TOP Depth</t>
  </si>
  <si>
    <t>Bottom Depth (Open Hole)</t>
  </si>
  <si>
    <t xml:space="preserve">Bottom Depth (All runs) </t>
  </si>
  <si>
    <t>Last Log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</si>
</sst>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C09]dd\-mmm\-yy;@"/>
    <numFmt numFmtId="165" formatCode="0.0000"/>
    <numFmt numFmtId="166" formatCode="0.000"/>
    <numFmt numFmtId="167" formatCode="0.0"/>
    <numFmt numFmtId="168" formatCode="h:mm;@"/>
    <numFmt numFmtId="169" formatCode="dd\-mmm\-yyyy"/>
    <numFmt numFmtId="170" formatCode="hh:mm;@"/>
    <numFmt numFmtId="171" formatCode="0.000000"/>
    <numFmt numFmtId="172" formatCode="00&quot;:&quot;00\ &quot;hr/min&quot;"/>
    <numFmt numFmtId="173" formatCode="hhmm\ d/mm/yyyy"/>
    <numFmt numFmtId="174" formatCode="00.00\ \C"/>
    <numFmt numFmtId="175" formatCode="0.00\ &quot;metres&quot;"/>
    <numFmt numFmtId="176" formatCode="0.00\ &quot;g/cc&quot;"/>
    <numFmt numFmtId="177" formatCode="[$-F400]h:mm:ss\ AM/PM"/>
    <numFmt numFmtId="178" formatCode="d/mm/yy;@"/>
    <numFmt numFmtId="179" formatCode="0.0%"/>
  </numFmts>
  <fonts count="35" x14ac:knownFonts="1">
    <font>
      <sz val="10"/>
      <name val="Arial"/>
      <family val="2"/>
      <charset val="1"/>
    </font>
    <font>
      <sz val="8"/>
      <name val="Arial"/>
      <family val="2"/>
      <charset val="1"/>
    </font>
    <font>
      <sz val="10"/>
      <name val="Arial"/>
      <family val="2"/>
      <charset val="1"/>
    </font>
    <font>
      <b/>
      <sz val="14"/>
      <color theme="4" tint="-0.499984740745262"/>
      <name val="Arial"/>
      <family val="2"/>
    </font>
    <font>
      <sz val="8"/>
      <color theme="4" tint="-0.499984740745262"/>
      <name val="Arial"/>
      <family val="2"/>
    </font>
    <font>
      <b/>
      <sz val="24"/>
      <name val="Calibri"/>
      <family val="2"/>
      <scheme val="minor"/>
    </font>
    <font>
      <b/>
      <sz val="8"/>
      <name val="Arial"/>
      <family val="2"/>
    </font>
    <font>
      <b/>
      <sz val="8"/>
      <name val="Arial"/>
      <family val="2"/>
      <charset val="1"/>
    </font>
    <font>
      <sz val="10"/>
      <name val="Arial"/>
      <family val="2"/>
    </font>
    <font>
      <b/>
      <sz val="10"/>
      <name val="Arial"/>
      <family val="2"/>
    </font>
    <font>
      <sz val="8"/>
      <name val="Arial"/>
      <family val="2"/>
    </font>
    <font>
      <b/>
      <sz val="10"/>
      <name val="Arial"/>
      <family val="2"/>
      <charset val="1"/>
    </font>
    <font>
      <b/>
      <sz val="10"/>
      <color rgb="FF99CCFF"/>
      <name val="Arial"/>
      <family val="2"/>
      <charset val="1"/>
    </font>
    <font>
      <b/>
      <sz val="14"/>
      <name val="Arial"/>
      <family val="2"/>
    </font>
    <font>
      <sz val="10"/>
      <color rgb="FFFF0000"/>
      <name val="Arial"/>
      <family val="2"/>
    </font>
    <font>
      <b/>
      <sz val="11"/>
      <color theme="4" tint="-0.499984740745262"/>
      <name val="Arial"/>
      <family val="2"/>
    </font>
    <font>
      <b/>
      <sz val="8"/>
      <color rgb="FFFF0000"/>
      <name val="Arial"/>
      <family val="2"/>
      <charset val="1"/>
    </font>
    <font>
      <sz val="8"/>
      <color rgb="FF99CCFF"/>
      <name val="Arial"/>
      <family val="2"/>
      <charset val="1"/>
    </font>
    <font>
      <sz val="8"/>
      <color rgb="FFFF0000"/>
      <name val="Arial"/>
      <family val="2"/>
      <charset val="1"/>
    </font>
    <font>
      <b/>
      <u/>
      <sz val="8"/>
      <name val="Arial"/>
      <family val="2"/>
      <charset val="1"/>
    </font>
    <font>
      <sz val="11"/>
      <name val="Calibri"/>
      <family val="2"/>
      <scheme val="minor"/>
    </font>
    <font>
      <sz val="6"/>
      <name val="Arial"/>
      <family val="2"/>
      <charset val="1"/>
    </font>
    <font>
      <sz val="7"/>
      <name val="Arial"/>
      <family val="2"/>
      <charset val="1"/>
    </font>
    <font>
      <sz val="7.5"/>
      <name val="Arial"/>
      <family val="2"/>
      <charset val="1"/>
    </font>
    <font>
      <b/>
      <sz val="8"/>
      <color rgb="FFFF0000"/>
      <name val="Arial"/>
      <family val="2"/>
    </font>
    <font>
      <sz val="8"/>
      <color rgb="FFFF0000"/>
      <name val="Arial"/>
      <family val="2"/>
    </font>
    <font>
      <sz val="9"/>
      <name val="Consolas"/>
      <family val="3"/>
    </font>
    <font>
      <b/>
      <sz val="10"/>
      <color rgb="FFFF0000"/>
      <name val="Arial"/>
      <family val="2"/>
    </font>
    <font>
      <u/>
      <sz val="8"/>
      <name val="Arial"/>
      <family val="2"/>
      <charset val="1"/>
    </font>
    <font>
      <b/>
      <sz val="9"/>
      <color indexed="81"/>
      <name val="Tahoma"/>
      <family val="2"/>
    </font>
    <font>
      <sz val="9"/>
      <color indexed="81"/>
      <name val="Tahoma"/>
      <family val="2"/>
    </font>
    <font>
      <b/>
      <sz val="7"/>
      <name val="Arial"/>
      <family val="2"/>
      <charset val="1"/>
    </font>
    <font>
      <sz val="16"/>
      <name val="Arial"/>
      <family val="2"/>
      <charset val="1"/>
    </font>
    <font>
      <b/>
      <sz val="9"/>
      <name val="Arial"/>
      <family val="2"/>
    </font>
    <font>
      <sz val="8"/>
      <color indexed="8"/>
      <name val="Calibri"/>
      <family val="2"/>
    </font>
  </fonts>
  <fills count="76">
    <fill>
      <patternFill patternType="none"/>
    </fill>
    <fill>
      <patternFill patternType="gray125"/>
    </fill>
    <fill>
      <patternFill patternType="solid">
        <fgColor rgb="FF99CCFF"/>
        <bgColor rgb="FF8EB4E3"/>
      </patternFill>
    </fill>
    <fill>
      <patternFill patternType="solid">
        <fgColor rgb="FFFF0000"/>
        <bgColor rgb="FF008080"/>
      </patternFill>
    </fill>
    <fill>
      <patternFill patternType="solid">
        <fgColor rgb="FF339966"/>
        <bgColor rgb="FF008080"/>
      </patternFill>
    </fill>
    <fill>
      <patternFill patternType="solid">
        <fgColor rgb="FFFF0000"/>
        <bgColor rgb="FF993300"/>
      </patternFill>
    </fill>
    <fill>
      <patternFill patternType="solid">
        <fgColor theme="6" tint="0.39997558519241921"/>
        <bgColor rgb="FF008080"/>
      </patternFill>
    </fill>
    <fill>
      <patternFill patternType="solid">
        <fgColor rgb="FF00B050"/>
        <bgColor indexed="64"/>
      </patternFill>
    </fill>
    <fill>
      <patternFill patternType="solid">
        <fgColor rgb="FF33CC33"/>
        <bgColor rgb="FFFF0000"/>
      </patternFill>
    </fill>
    <fill>
      <patternFill patternType="solid">
        <fgColor rgb="FFFFC000"/>
        <bgColor rgb="FF8EB4E3"/>
      </patternFill>
    </fill>
    <fill>
      <patternFill patternType="solid">
        <fgColor theme="1" tint="0.14999847407452621"/>
        <bgColor rgb="FF993300"/>
      </patternFill>
    </fill>
    <fill>
      <patternFill patternType="solid">
        <fgColor theme="6" tint="0.39997558519241921"/>
        <bgColor rgb="FFC0C0C0"/>
      </patternFill>
    </fill>
    <fill>
      <patternFill patternType="solid">
        <fgColor rgb="FF00CC00"/>
        <bgColor indexed="64"/>
      </patternFill>
    </fill>
    <fill>
      <patternFill patternType="solid">
        <fgColor rgb="FF33CC33"/>
        <bgColor rgb="FF77933C"/>
      </patternFill>
    </fill>
    <fill>
      <patternFill patternType="solid">
        <fgColor theme="1" tint="0.249977111117893"/>
        <bgColor rgb="FF008080"/>
      </patternFill>
    </fill>
    <fill>
      <patternFill patternType="solid">
        <fgColor indexed="57"/>
        <bgColor indexed="17"/>
      </patternFill>
    </fill>
    <fill>
      <patternFill patternType="solid">
        <fgColor rgb="FFCCFF33"/>
        <bgColor indexed="64"/>
      </patternFill>
    </fill>
    <fill>
      <patternFill patternType="solid">
        <fgColor theme="1" tint="0.249977111117893"/>
        <bgColor rgb="FF993300"/>
      </patternFill>
    </fill>
    <fill>
      <patternFill patternType="solid">
        <fgColor theme="4" tint="0.39997558519241921"/>
        <bgColor indexed="64"/>
      </patternFill>
    </fill>
    <fill>
      <patternFill patternType="solid">
        <fgColor theme="1" tint="0.249977111117893"/>
        <bgColor indexed="64"/>
      </patternFill>
    </fill>
    <fill>
      <patternFill patternType="solid">
        <fgColor rgb="FF33CC33"/>
        <bgColor indexed="64"/>
      </patternFill>
    </fill>
    <fill>
      <patternFill patternType="solid">
        <fgColor theme="2" tint="-0.249977111117893"/>
        <bgColor rgb="FF8EB4E3"/>
      </patternFill>
    </fill>
    <fill>
      <patternFill patternType="solid">
        <fgColor rgb="FF00CC00"/>
        <bgColor rgb="FFFF0000"/>
      </patternFill>
    </fill>
    <fill>
      <patternFill patternType="solid">
        <fgColor rgb="FF33CC33"/>
        <bgColor rgb="FFFFFFCC"/>
      </patternFill>
    </fill>
    <fill>
      <patternFill patternType="solid">
        <fgColor indexed="65"/>
        <bgColor rgb="FFFF0000"/>
      </patternFill>
    </fill>
    <fill>
      <patternFill patternType="solid">
        <fgColor theme="0"/>
        <bgColor rgb="FFFF0000"/>
      </patternFill>
    </fill>
    <fill>
      <patternFill patternType="solid">
        <fgColor theme="0"/>
        <bgColor rgb="FF8EB4E3"/>
      </patternFill>
    </fill>
    <fill>
      <patternFill patternType="solid">
        <fgColor theme="0" tint="-0.249977111117893"/>
        <bgColor rgb="FF8EB4E3"/>
      </patternFill>
    </fill>
    <fill>
      <patternFill patternType="solid">
        <fgColor indexed="65"/>
        <bgColor indexed="64"/>
      </patternFill>
    </fill>
    <fill>
      <patternFill patternType="solid">
        <fgColor rgb="FF66FF33"/>
        <bgColor rgb="FF008080"/>
      </patternFill>
    </fill>
    <fill>
      <patternFill patternType="solid">
        <fgColor theme="0" tint="-0.14999847407452621"/>
        <bgColor indexed="64"/>
      </patternFill>
    </fill>
    <fill>
      <patternFill patternType="solid">
        <fgColor theme="0"/>
        <bgColor indexed="64"/>
      </patternFill>
    </fill>
    <fill>
      <patternFill patternType="solid">
        <fgColor theme="0" tint="-0.14999847407452621"/>
        <bgColor rgb="FFFFFFCC"/>
      </patternFill>
    </fill>
    <fill>
      <patternFill patternType="solid">
        <fgColor theme="0" tint="-0.14999847407452621"/>
        <bgColor rgb="FF8EB4E3"/>
      </patternFill>
    </fill>
    <fill>
      <patternFill patternType="solid">
        <fgColor rgb="FF66FF33"/>
        <bgColor indexed="64"/>
      </patternFill>
    </fill>
    <fill>
      <patternFill patternType="solid">
        <fgColor theme="0"/>
        <bgColor rgb="FF77933C"/>
      </patternFill>
    </fill>
    <fill>
      <patternFill patternType="solid">
        <fgColor rgb="FFFFFF00"/>
        <bgColor rgb="FF8EB4E3"/>
      </patternFill>
    </fill>
    <fill>
      <patternFill patternType="solid">
        <fgColor rgb="FF99CCFF"/>
        <bgColor rgb="FFFF0000"/>
      </patternFill>
    </fill>
    <fill>
      <patternFill patternType="solid">
        <fgColor rgb="FFFFFF00"/>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rgb="FF4F81BD"/>
        <bgColor rgb="FF808080"/>
      </patternFill>
    </fill>
    <fill>
      <patternFill patternType="solid">
        <fgColor rgb="FF008000"/>
        <bgColor rgb="FF008080"/>
      </patternFill>
    </fill>
    <fill>
      <patternFill patternType="solid">
        <fgColor rgb="FFC6D9F1"/>
        <bgColor rgb="FFB7DEE8"/>
      </patternFill>
    </fill>
    <fill>
      <patternFill patternType="solid">
        <fgColor rgb="FF8EB4E3"/>
        <bgColor rgb="FF99CCFF"/>
      </patternFill>
    </fill>
    <fill>
      <patternFill patternType="solid">
        <fgColor rgb="FFC3D69B"/>
        <bgColor rgb="FFC0C0C0"/>
      </patternFill>
    </fill>
    <fill>
      <patternFill patternType="solid">
        <fgColor rgb="FF77933C"/>
        <bgColor rgb="FF808080"/>
      </patternFill>
    </fill>
    <fill>
      <patternFill patternType="solid">
        <fgColor rgb="FFE6E0EC"/>
        <bgColor rgb="FFDBEEF4"/>
      </patternFill>
    </fill>
    <fill>
      <patternFill patternType="solid">
        <fgColor rgb="FFDBEEF4"/>
        <bgColor rgb="FFE6E0EC"/>
      </patternFill>
    </fill>
    <fill>
      <patternFill patternType="solid">
        <fgColor rgb="FFCCC1DA"/>
        <bgColor rgb="FFC0C0C0"/>
      </patternFill>
    </fill>
    <fill>
      <patternFill patternType="solid">
        <fgColor rgb="FFB3A2C7"/>
        <bgColor rgb="FFC0C0C0"/>
      </patternFill>
    </fill>
    <fill>
      <patternFill patternType="solid">
        <fgColor rgb="FFB7DEE8"/>
        <bgColor rgb="FFC6D9F1"/>
      </patternFill>
    </fill>
    <fill>
      <patternFill patternType="solid">
        <fgColor rgb="FFFDEADA"/>
        <bgColor rgb="FFE6E0EC"/>
      </patternFill>
    </fill>
    <fill>
      <patternFill patternType="solid">
        <fgColor rgb="FFFCD5B5"/>
        <bgColor rgb="FFFFC7CE"/>
      </patternFill>
    </fill>
    <fill>
      <patternFill patternType="solid">
        <fgColor rgb="FFFAC090"/>
        <bgColor rgb="FFFCD5B5"/>
      </patternFill>
    </fill>
    <fill>
      <patternFill patternType="solid">
        <fgColor theme="5" tint="0.79998168889431442"/>
        <bgColor rgb="FFB7DEE8"/>
      </patternFill>
    </fill>
    <fill>
      <patternFill patternType="solid">
        <fgColor theme="8" tint="0.59999389629810485"/>
        <bgColor rgb="FFB7DEE8"/>
      </patternFill>
    </fill>
    <fill>
      <patternFill patternType="solid">
        <fgColor theme="9" tint="0.59999389629810485"/>
        <bgColor rgb="FFB7DEE8"/>
      </patternFill>
    </fill>
    <fill>
      <patternFill patternType="solid">
        <fgColor theme="6" tint="0.59999389629810485"/>
        <bgColor rgb="FFB7DEE8"/>
      </patternFill>
    </fill>
    <fill>
      <patternFill patternType="solid">
        <fgColor theme="4" tint="0.59999389629810485"/>
        <bgColor rgb="FFB7DEE8"/>
      </patternFill>
    </fill>
    <fill>
      <patternFill patternType="solid">
        <fgColor theme="9" tint="0.39997558519241921"/>
        <bgColor rgb="FFB7DEE8"/>
      </patternFill>
    </fill>
    <fill>
      <patternFill patternType="solid">
        <fgColor rgb="FFFFFF00"/>
        <bgColor rgb="FFB7DEE8"/>
      </patternFill>
    </fill>
    <fill>
      <patternFill patternType="solid">
        <fgColor theme="9" tint="-0.249977111117893"/>
        <bgColor rgb="FFB7DEE8"/>
      </patternFill>
    </fill>
    <fill>
      <patternFill patternType="solid">
        <fgColor theme="2" tint="-0.249977111117893"/>
        <bgColor rgb="FFB7DEE8"/>
      </patternFill>
    </fill>
    <fill>
      <patternFill patternType="solid">
        <fgColor theme="5" tint="0.79998168889431442"/>
        <bgColor indexed="64"/>
      </patternFill>
    </fill>
    <fill>
      <patternFill patternType="solid">
        <fgColor theme="2" tint="-0.249977111117893"/>
        <bgColor indexed="64"/>
      </patternFill>
    </fill>
    <fill>
      <patternFill patternType="solid">
        <fgColor indexed="41"/>
        <bgColor indexed="64"/>
      </patternFill>
    </fill>
    <fill>
      <patternFill patternType="solid">
        <fgColor indexed="42"/>
        <bgColor indexed="27"/>
      </patternFill>
    </fill>
    <fill>
      <patternFill patternType="solid">
        <fgColor indexed="43"/>
        <bgColor indexed="26"/>
      </patternFill>
    </fill>
    <fill>
      <patternFill patternType="solid">
        <fgColor indexed="44"/>
        <bgColor indexed="26"/>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indexed="22"/>
        <bgColor indexed="64"/>
      </patternFill>
    </fill>
    <fill>
      <patternFill patternType="solid">
        <fgColor indexed="51"/>
        <bgColor indexed="64"/>
      </patternFill>
    </fill>
  </fills>
  <borders count="3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5">
    <xf numFmtId="0" fontId="0" fillId="0" borderId="0"/>
    <xf numFmtId="0" fontId="8" fillId="5" borderId="0"/>
    <xf numFmtId="0" fontId="8" fillId="0" borderId="0"/>
    <xf numFmtId="0" fontId="34" fillId="0" borderId="0"/>
    <xf numFmtId="0" fontId="8" fillId="0" borderId="0"/>
  </cellStyleXfs>
  <cellXfs count="414">
    <xf numFmtId="0" fontId="0" fillId="0" borderId="0" xfId="0"/>
    <xf numFmtId="0" fontId="1" fillId="2" borderId="0" xfId="0" applyFont="1" applyFill="1"/>
    <xf numFmtId="0" fontId="3" fillId="2" borderId="0" xfId="0" applyFont="1" applyFill="1"/>
    <xf numFmtId="0" fontId="4" fillId="2" borderId="0" xfId="0" applyFont="1" applyFill="1"/>
    <xf numFmtId="0" fontId="6" fillId="3" borderId="0" xfId="0" applyFont="1" applyFill="1"/>
    <xf numFmtId="0" fontId="1" fillId="4" borderId="0" xfId="0" applyFont="1" applyFill="1"/>
    <xf numFmtId="0" fontId="7" fillId="4" borderId="0" xfId="0" applyFont="1" applyFill="1"/>
    <xf numFmtId="0" fontId="6" fillId="3" borderId="1" xfId="0" applyFont="1" applyFill="1" applyBorder="1"/>
    <xf numFmtId="0" fontId="9" fillId="5" borderId="2" xfId="1" applyFont="1" applyBorder="1"/>
    <xf numFmtId="0" fontId="6" fillId="6" borderId="1" xfId="0" applyFont="1" applyFill="1" applyBorder="1"/>
    <xf numFmtId="0" fontId="6" fillId="6" borderId="3" xfId="0" applyFont="1" applyFill="1" applyBorder="1"/>
    <xf numFmtId="0" fontId="6" fillId="6" borderId="2" xfId="0" applyFont="1" applyFill="1" applyBorder="1"/>
    <xf numFmtId="0" fontId="1" fillId="4" borderId="0" xfId="0" applyFont="1" applyFill="1" applyAlignment="1">
      <alignment horizontal="left"/>
    </xf>
    <xf numFmtId="0" fontId="1" fillId="7" borderId="0" xfId="0" applyFont="1" applyFill="1"/>
    <xf numFmtId="0" fontId="1" fillId="0" borderId="0" xfId="0" applyFont="1"/>
    <xf numFmtId="0" fontId="10" fillId="0" borderId="0" xfId="0" applyFont="1"/>
    <xf numFmtId="0" fontId="10" fillId="0" borderId="0" xfId="0" applyFont="1" applyAlignment="1">
      <alignment horizontal="left"/>
    </xf>
    <xf numFmtId="0" fontId="11" fillId="8" borderId="4" xfId="0" applyFont="1" applyFill="1" applyBorder="1" applyAlignment="1" applyProtection="1">
      <alignment horizontal="center"/>
      <protection locked="0"/>
    </xf>
    <xf numFmtId="0" fontId="12" fillId="2" borderId="0" xfId="0" applyFont="1" applyFill="1"/>
    <xf numFmtId="0" fontId="6" fillId="3" borderId="5" xfId="0" applyFont="1" applyFill="1" applyBorder="1"/>
    <xf numFmtId="0" fontId="9" fillId="5" borderId="6" xfId="1" applyFont="1" applyBorder="1"/>
    <xf numFmtId="0" fontId="6" fillId="6" borderId="7" xfId="0" applyFont="1" applyFill="1" applyBorder="1"/>
    <xf numFmtId="0" fontId="6" fillId="6" borderId="8" xfId="0" applyFont="1" applyFill="1" applyBorder="1"/>
    <xf numFmtId="0" fontId="6" fillId="6" borderId="9" xfId="0" applyFont="1" applyFill="1" applyBorder="1"/>
    <xf numFmtId="0" fontId="8" fillId="5" borderId="0" xfId="1"/>
    <xf numFmtId="0" fontId="10" fillId="2" borderId="0" xfId="0" applyFont="1" applyFill="1" applyAlignment="1">
      <alignment horizontal="left"/>
    </xf>
    <xf numFmtId="0" fontId="14" fillId="10" borderId="1" xfId="1" applyFont="1" applyFill="1" applyBorder="1"/>
    <xf numFmtId="0" fontId="14" fillId="10" borderId="2" xfId="1" applyFont="1" applyFill="1" applyBorder="1"/>
    <xf numFmtId="0" fontId="1" fillId="2" borderId="13" xfId="0" applyFont="1" applyFill="1" applyBorder="1"/>
    <xf numFmtId="0" fontId="1" fillId="2" borderId="0" xfId="0" applyFont="1" applyFill="1" applyAlignment="1">
      <alignment horizontal="left"/>
    </xf>
    <xf numFmtId="0" fontId="1" fillId="2" borderId="0" xfId="0" applyFont="1" applyFill="1" applyAlignment="1">
      <alignment horizontal="right"/>
    </xf>
    <xf numFmtId="0" fontId="1" fillId="12" borderId="4" xfId="0" quotePrefix="1" applyFont="1" applyFill="1" applyBorder="1" applyAlignment="1" applyProtection="1">
      <alignment horizontal="left"/>
      <protection locked="0"/>
    </xf>
    <xf numFmtId="1" fontId="1" fillId="13" borderId="4" xfId="0" applyNumberFormat="1" applyFont="1" applyFill="1" applyBorder="1" applyProtection="1">
      <protection locked="0"/>
    </xf>
    <xf numFmtId="0" fontId="16" fillId="14" borderId="0" xfId="0" applyFont="1" applyFill="1"/>
    <xf numFmtId="0" fontId="7" fillId="4" borderId="0" xfId="0" applyFont="1" applyFill="1" applyAlignment="1">
      <alignment horizontal="right"/>
    </xf>
    <xf numFmtId="0" fontId="16" fillId="14" borderId="5" xfId="0" applyFont="1" applyFill="1" applyBorder="1"/>
    <xf numFmtId="0" fontId="16" fillId="14" borderId="6" xfId="0" applyFont="1" applyFill="1" applyBorder="1"/>
    <xf numFmtId="0" fontId="7" fillId="6" borderId="0" xfId="0" applyFont="1" applyFill="1"/>
    <xf numFmtId="0" fontId="6" fillId="15" borderId="1" xfId="0" applyFont="1" applyFill="1" applyBorder="1"/>
    <xf numFmtId="0" fontId="6" fillId="15" borderId="3" xfId="0" applyFont="1" applyFill="1" applyBorder="1"/>
    <xf numFmtId="0" fontId="6" fillId="4" borderId="2" xfId="0" applyFont="1" applyFill="1" applyBorder="1" applyAlignment="1">
      <alignment horizontal="left"/>
    </xf>
    <xf numFmtId="0" fontId="6" fillId="4" borderId="0" xfId="0" applyFont="1" applyFill="1" applyAlignment="1">
      <alignment horizontal="left"/>
    </xf>
    <xf numFmtId="0" fontId="6" fillId="15" borderId="0" xfId="0" applyFont="1" applyFill="1"/>
    <xf numFmtId="0" fontId="1" fillId="16" borderId="14" xfId="0" applyFont="1" applyFill="1" applyBorder="1"/>
    <xf numFmtId="0" fontId="1" fillId="16" borderId="15" xfId="0" applyFont="1" applyFill="1" applyBorder="1"/>
    <xf numFmtId="0" fontId="14" fillId="10" borderId="5" xfId="1" applyFont="1" applyFill="1" applyBorder="1"/>
    <xf numFmtId="0" fontId="14" fillId="10" borderId="6" xfId="1" applyFont="1" applyFill="1" applyBorder="1"/>
    <xf numFmtId="0" fontId="17" fillId="2" borderId="0" xfId="0" applyFont="1" applyFill="1" applyAlignment="1">
      <alignment horizontal="left"/>
    </xf>
    <xf numFmtId="0" fontId="18" fillId="14" borderId="0" xfId="0" applyFont="1" applyFill="1"/>
    <xf numFmtId="0" fontId="18" fillId="14" borderId="5" xfId="0" applyFont="1" applyFill="1" applyBorder="1"/>
    <xf numFmtId="0" fontId="18" fillId="14" borderId="6" xfId="0" applyFont="1" applyFill="1" applyBorder="1"/>
    <xf numFmtId="0" fontId="1" fillId="6" borderId="0" xfId="0" applyFont="1" applyFill="1" applyAlignment="1">
      <alignment horizontal="left"/>
    </xf>
    <xf numFmtId="0" fontId="10" fillId="15" borderId="5" xfId="0" applyFont="1" applyFill="1" applyBorder="1"/>
    <xf numFmtId="0" fontId="10" fillId="15" borderId="0" xfId="0" applyFont="1" applyFill="1"/>
    <xf numFmtId="0" fontId="1" fillId="4" borderId="6" xfId="0" applyFont="1" applyFill="1" applyBorder="1" applyAlignment="1">
      <alignment horizontal="left"/>
    </xf>
    <xf numFmtId="0" fontId="1" fillId="6" borderId="0" xfId="0" applyFont="1" applyFill="1"/>
    <xf numFmtId="0" fontId="1" fillId="4" borderId="1" xfId="0" applyFont="1" applyFill="1" applyBorder="1" applyAlignment="1">
      <alignment horizontal="left"/>
    </xf>
    <xf numFmtId="0" fontId="1" fillId="4" borderId="2" xfId="0" applyFont="1" applyFill="1" applyBorder="1" applyAlignment="1">
      <alignment horizontal="left"/>
    </xf>
    <xf numFmtId="0" fontId="1" fillId="16" borderId="5" xfId="0" applyFont="1" applyFill="1" applyBorder="1"/>
    <xf numFmtId="0" fontId="1" fillId="16" borderId="6" xfId="0" applyFont="1" applyFill="1" applyBorder="1"/>
    <xf numFmtId="165" fontId="14" fillId="10" borderId="5" xfId="1" applyNumberFormat="1" applyFont="1" applyFill="1" applyBorder="1"/>
    <xf numFmtId="165" fontId="14" fillId="10" borderId="6" xfId="1" applyNumberFormat="1" applyFont="1" applyFill="1" applyBorder="1"/>
    <xf numFmtId="0" fontId="1" fillId="12" borderId="4" xfId="0" applyFont="1" applyFill="1" applyBorder="1" applyProtection="1">
      <protection locked="0"/>
    </xf>
    <xf numFmtId="0" fontId="14" fillId="17" borderId="0" xfId="1" applyFont="1" applyFill="1"/>
    <xf numFmtId="0" fontId="10" fillId="15" borderId="0" xfId="0" applyFont="1" applyFill="1" applyAlignment="1">
      <alignment horizontal="left"/>
    </xf>
    <xf numFmtId="0" fontId="1" fillId="4" borderId="5" xfId="0" applyFont="1" applyFill="1" applyBorder="1" applyAlignment="1">
      <alignment horizontal="left"/>
    </xf>
    <xf numFmtId="2" fontId="14" fillId="10" borderId="5" xfId="1" applyNumberFormat="1" applyFont="1" applyFill="1" applyBorder="1"/>
    <xf numFmtId="2" fontId="14" fillId="10" borderId="6" xfId="1" applyNumberFormat="1" applyFont="1" applyFill="1" applyBorder="1"/>
    <xf numFmtId="0" fontId="19" fillId="2" borderId="0" xfId="0" applyFont="1" applyFill="1"/>
    <xf numFmtId="0" fontId="1" fillId="2" borderId="0" xfId="0" applyFont="1" applyFill="1" applyAlignment="1">
      <alignment horizontal="center"/>
    </xf>
    <xf numFmtId="2" fontId="18" fillId="19" borderId="6" xfId="0" applyNumberFormat="1" applyFont="1" applyFill="1" applyBorder="1"/>
    <xf numFmtId="0" fontId="1" fillId="20" borderId="16" xfId="0" applyFont="1" applyFill="1" applyBorder="1" applyProtection="1">
      <protection locked="0"/>
    </xf>
    <xf numFmtId="0" fontId="1" fillId="20" borderId="17" xfId="0" applyFont="1" applyFill="1" applyBorder="1" applyProtection="1">
      <protection locked="0"/>
    </xf>
    <xf numFmtId="0" fontId="1" fillId="20" borderId="18" xfId="0" applyFont="1" applyFill="1" applyBorder="1" applyProtection="1">
      <protection locked="0"/>
    </xf>
    <xf numFmtId="0" fontId="18" fillId="14" borderId="5" xfId="0" applyFont="1" applyFill="1" applyBorder="1" applyAlignment="1">
      <alignment horizontal="left"/>
    </xf>
    <xf numFmtId="0" fontId="1" fillId="20" borderId="19" xfId="0" applyFont="1" applyFill="1" applyBorder="1" applyProtection="1">
      <protection locked="0"/>
    </xf>
    <xf numFmtId="0" fontId="1" fillId="20" borderId="20" xfId="0" applyFont="1" applyFill="1" applyBorder="1" applyProtection="1">
      <protection locked="0"/>
    </xf>
    <xf numFmtId="0" fontId="1" fillId="20" borderId="21" xfId="0" applyFont="1" applyFill="1" applyBorder="1" applyProtection="1">
      <protection locked="0"/>
    </xf>
    <xf numFmtId="0" fontId="6" fillId="2" borderId="0" xfId="0" applyFont="1" applyFill="1" applyAlignment="1">
      <alignment horizontal="right"/>
    </xf>
    <xf numFmtId="10" fontId="20" fillId="21" borderId="4" xfId="0" applyNumberFormat="1" applyFont="1" applyFill="1" applyBorder="1" applyAlignment="1">
      <alignment horizontal="left"/>
    </xf>
    <xf numFmtId="0" fontId="7" fillId="2" borderId="0" xfId="0" applyFont="1" applyFill="1" applyAlignment="1">
      <alignment horizontal="left"/>
    </xf>
    <xf numFmtId="0" fontId="7" fillId="2" borderId="0" xfId="0" applyFont="1" applyFill="1" applyAlignment="1">
      <alignment horizontal="right"/>
    </xf>
    <xf numFmtId="166" fontId="1" fillId="12" borderId="4" xfId="0" applyNumberFormat="1" applyFont="1" applyFill="1" applyBorder="1" applyProtection="1">
      <protection locked="0"/>
    </xf>
    <xf numFmtId="2" fontId="1" fillId="13" borderId="4" xfId="0" applyNumberFormat="1" applyFont="1" applyFill="1" applyBorder="1" applyProtection="1">
      <protection locked="0"/>
    </xf>
    <xf numFmtId="0" fontId="7" fillId="2" borderId="0" xfId="0" applyFont="1" applyFill="1"/>
    <xf numFmtId="0" fontId="1" fillId="22" borderId="4" xfId="0" applyFont="1" applyFill="1" applyBorder="1" applyProtection="1">
      <protection locked="0"/>
    </xf>
    <xf numFmtId="167" fontId="21" fillId="8" borderId="4" xfId="0" applyNumberFormat="1" applyFont="1" applyFill="1" applyBorder="1" applyAlignment="1" applyProtection="1">
      <alignment horizontal="right"/>
      <protection locked="0"/>
    </xf>
    <xf numFmtId="2" fontId="1" fillId="2" borderId="0" xfId="0" applyNumberFormat="1" applyFont="1" applyFill="1"/>
    <xf numFmtId="2" fontId="1" fillId="23" borderId="4" xfId="0" applyNumberFormat="1" applyFont="1" applyFill="1" applyBorder="1" applyProtection="1">
      <protection locked="0"/>
    </xf>
    <xf numFmtId="167" fontId="1" fillId="13" borderId="4" xfId="0" applyNumberFormat="1" applyFont="1" applyFill="1" applyBorder="1" applyProtection="1">
      <protection locked="0"/>
    </xf>
    <xf numFmtId="0" fontId="1" fillId="23" borderId="4" xfId="0" applyFont="1" applyFill="1" applyBorder="1" applyProtection="1">
      <protection locked="0"/>
    </xf>
    <xf numFmtId="167" fontId="1" fillId="23" borderId="4" xfId="0" applyNumberFormat="1" applyFont="1" applyFill="1" applyBorder="1" applyAlignment="1" applyProtection="1">
      <alignment horizontal="center" vertical="center"/>
      <protection locked="0"/>
    </xf>
    <xf numFmtId="0" fontId="22" fillId="24" borderId="4" xfId="0" applyFont="1" applyFill="1" applyBorder="1" applyAlignment="1" applyProtection="1">
      <alignment horizontal="right"/>
      <protection locked="0"/>
    </xf>
    <xf numFmtId="0" fontId="1" fillId="24" borderId="4" xfId="0" applyFont="1" applyFill="1" applyBorder="1" applyAlignment="1" applyProtection="1">
      <alignment horizontal="right"/>
      <protection locked="0"/>
    </xf>
    <xf numFmtId="0" fontId="1" fillId="23" borderId="4" xfId="0" applyFont="1" applyFill="1" applyBorder="1" applyAlignment="1" applyProtection="1">
      <alignment horizontal="center"/>
      <protection locked="0"/>
    </xf>
    <xf numFmtId="0" fontId="1" fillId="20" borderId="4" xfId="0" applyFont="1" applyFill="1" applyBorder="1" applyProtection="1">
      <protection locked="0"/>
    </xf>
    <xf numFmtId="2" fontId="1" fillId="24" borderId="4" xfId="0" applyNumberFormat="1" applyFont="1" applyFill="1" applyBorder="1" applyAlignment="1" applyProtection="1">
      <alignment horizontal="right"/>
      <protection locked="0"/>
    </xf>
    <xf numFmtId="2" fontId="1" fillId="25" borderId="4" xfId="0" applyNumberFormat="1" applyFont="1" applyFill="1" applyBorder="1" applyAlignment="1" applyProtection="1">
      <alignment horizontal="center"/>
      <protection locked="0"/>
    </xf>
    <xf numFmtId="2" fontId="1" fillId="27" borderId="4" xfId="0" applyNumberFormat="1" applyFont="1" applyFill="1" applyBorder="1"/>
    <xf numFmtId="2" fontId="1" fillId="20" borderId="4" xfId="0" applyNumberFormat="1" applyFont="1" applyFill="1" applyBorder="1" applyProtection="1">
      <protection locked="0"/>
    </xf>
    <xf numFmtId="167" fontId="1" fillId="28" borderId="4" xfId="0" applyNumberFormat="1" applyFont="1" applyFill="1" applyBorder="1" applyAlignment="1" applyProtection="1">
      <alignment horizontal="center"/>
      <protection locked="0"/>
    </xf>
    <xf numFmtId="168" fontId="1" fillId="23" borderId="4" xfId="0" applyNumberFormat="1" applyFont="1" applyFill="1" applyBorder="1" applyAlignment="1" applyProtection="1">
      <alignment horizontal="right"/>
      <protection locked="0"/>
    </xf>
    <xf numFmtId="169" fontId="21" fillId="23" borderId="4" xfId="0" applyNumberFormat="1" applyFont="1" applyFill="1" applyBorder="1" applyProtection="1">
      <protection locked="0"/>
    </xf>
    <xf numFmtId="0" fontId="6" fillId="4" borderId="0" xfId="0" applyFont="1" applyFill="1"/>
    <xf numFmtId="0" fontId="6" fillId="29" borderId="0" xfId="0" applyFont="1" applyFill="1"/>
    <xf numFmtId="0" fontId="14" fillId="10" borderId="7" xfId="1" applyFont="1" applyFill="1" applyBorder="1"/>
    <xf numFmtId="0" fontId="14" fillId="10" borderId="9" xfId="1" applyFont="1" applyFill="1" applyBorder="1"/>
    <xf numFmtId="2" fontId="1" fillId="24" borderId="4" xfId="0" applyNumberFormat="1" applyFont="1" applyFill="1" applyBorder="1" applyProtection="1">
      <protection locked="0"/>
    </xf>
    <xf numFmtId="167" fontId="1" fillId="13" borderId="12" xfId="0" applyNumberFormat="1" applyFont="1" applyFill="1" applyBorder="1" applyProtection="1">
      <protection locked="0"/>
    </xf>
    <xf numFmtId="49" fontId="1" fillId="29" borderId="22" xfId="0" applyNumberFormat="1" applyFont="1" applyFill="1" applyBorder="1"/>
    <xf numFmtId="2" fontId="1" fillId="13" borderId="4" xfId="0" applyNumberFormat="1" applyFont="1" applyFill="1" applyBorder="1" applyAlignment="1" applyProtection="1">
      <alignment horizontal="right"/>
      <protection locked="0"/>
    </xf>
    <xf numFmtId="1" fontId="1" fillId="23" borderId="4" xfId="0" applyNumberFormat="1" applyFont="1" applyFill="1" applyBorder="1" applyAlignment="1" applyProtection="1">
      <alignment horizontal="right"/>
      <protection locked="0"/>
    </xf>
    <xf numFmtId="49" fontId="1" fillId="29" borderId="23" xfId="0" applyNumberFormat="1" applyFont="1" applyFill="1" applyBorder="1"/>
    <xf numFmtId="2" fontId="1" fillId="22" borderId="4" xfId="0" applyNumberFormat="1" applyFont="1" applyFill="1" applyBorder="1" applyProtection="1">
      <protection locked="0"/>
    </xf>
    <xf numFmtId="0" fontId="1" fillId="0" borderId="0" xfId="0" applyFont="1" applyAlignment="1">
      <alignment horizontal="left"/>
    </xf>
    <xf numFmtId="2" fontId="1" fillId="28" borderId="4" xfId="0" applyNumberFormat="1" applyFont="1" applyFill="1" applyBorder="1" applyProtection="1">
      <protection locked="0"/>
    </xf>
    <xf numFmtId="0" fontId="1" fillId="20" borderId="4" xfId="0" applyFont="1" applyFill="1" applyBorder="1" applyAlignment="1" applyProtection="1">
      <alignment horizontal="right"/>
      <protection locked="0"/>
    </xf>
    <xf numFmtId="0" fontId="18" fillId="14" borderId="7" xfId="0" applyFont="1" applyFill="1" applyBorder="1" applyAlignment="1">
      <alignment horizontal="left"/>
    </xf>
    <xf numFmtId="0" fontId="1" fillId="28" borderId="4" xfId="0" applyFont="1" applyFill="1" applyBorder="1" applyProtection="1">
      <protection locked="0"/>
    </xf>
    <xf numFmtId="0" fontId="1" fillId="2" borderId="10" xfId="0" applyFont="1" applyFill="1" applyBorder="1"/>
    <xf numFmtId="0" fontId="1" fillId="2" borderId="11" xfId="0" applyFont="1" applyFill="1" applyBorder="1"/>
    <xf numFmtId="0" fontId="1" fillId="2" borderId="12" xfId="0" applyFont="1" applyFill="1" applyBorder="1"/>
    <xf numFmtId="0" fontId="10" fillId="2" borderId="16" xfId="0" applyFont="1" applyFill="1" applyBorder="1"/>
    <xf numFmtId="0" fontId="10" fillId="2" borderId="18" xfId="0" applyFont="1" applyFill="1" applyBorder="1"/>
    <xf numFmtId="0" fontId="1" fillId="2" borderId="24" xfId="0" applyFont="1" applyFill="1" applyBorder="1"/>
    <xf numFmtId="0" fontId="1" fillId="2" borderId="13" xfId="0" applyFont="1" applyFill="1" applyBorder="1" applyAlignment="1">
      <alignment horizontal="center"/>
    </xf>
    <xf numFmtId="0" fontId="1" fillId="2" borderId="25" xfId="0" applyFont="1" applyFill="1" applyBorder="1"/>
    <xf numFmtId="0" fontId="10" fillId="2" borderId="13" xfId="0" applyFont="1" applyFill="1" applyBorder="1"/>
    <xf numFmtId="0" fontId="10" fillId="2" borderId="25" xfId="0" applyFont="1" applyFill="1" applyBorder="1"/>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24" xfId="0" applyFont="1" applyFill="1" applyBorder="1" applyAlignment="1">
      <alignment horizontal="center"/>
    </xf>
    <xf numFmtId="0" fontId="1" fillId="2" borderId="17" xfId="0" applyFont="1" applyFill="1" applyBorder="1"/>
    <xf numFmtId="0" fontId="1" fillId="2" borderId="26" xfId="0" applyFont="1" applyFill="1" applyBorder="1"/>
    <xf numFmtId="0" fontId="1" fillId="2" borderId="13" xfId="0" applyFont="1" applyFill="1" applyBorder="1" applyAlignment="1">
      <alignment horizontal="right"/>
    </xf>
    <xf numFmtId="0" fontId="1" fillId="2" borderId="25" xfId="0" applyFont="1" applyFill="1" applyBorder="1" applyAlignment="1">
      <alignment horizontal="center"/>
    </xf>
    <xf numFmtId="0" fontId="1" fillId="2" borderId="26" xfId="0" applyFont="1" applyFill="1" applyBorder="1" applyAlignment="1">
      <alignment horizontal="center"/>
    </xf>
    <xf numFmtId="0" fontId="1" fillId="2" borderId="19" xfId="0" applyFont="1" applyFill="1" applyBorder="1" applyAlignment="1">
      <alignment horizontal="center"/>
    </xf>
    <xf numFmtId="0" fontId="1" fillId="2" borderId="27" xfId="0" applyFont="1" applyFill="1" applyBorder="1" applyAlignment="1">
      <alignment horizontal="center"/>
    </xf>
    <xf numFmtId="0" fontId="1" fillId="2" borderId="20" xfId="0" applyFont="1" applyFill="1" applyBorder="1"/>
    <xf numFmtId="0" fontId="1" fillId="2" borderId="20" xfId="0" applyFont="1" applyFill="1" applyBorder="1" applyAlignment="1">
      <alignment horizontal="center"/>
    </xf>
    <xf numFmtId="0" fontId="1" fillId="2" borderId="21" xfId="0" applyFont="1" applyFill="1" applyBorder="1"/>
    <xf numFmtId="0" fontId="1" fillId="25" borderId="4" xfId="0" applyFont="1" applyFill="1" applyBorder="1" applyAlignment="1" applyProtection="1">
      <alignment horizontal="right"/>
      <protection locked="0"/>
    </xf>
    <xf numFmtId="0" fontId="1" fillId="30" borderId="4" xfId="0" applyFont="1" applyFill="1" applyBorder="1"/>
    <xf numFmtId="0" fontId="1" fillId="28" borderId="4" xfId="0" applyFont="1" applyFill="1" applyBorder="1" applyAlignment="1" applyProtection="1">
      <alignment horizontal="center"/>
      <protection locked="0"/>
    </xf>
    <xf numFmtId="164" fontId="23" fillId="24" borderId="4" xfId="0" applyNumberFormat="1" applyFont="1" applyFill="1" applyBorder="1" applyProtection="1">
      <protection locked="0"/>
    </xf>
    <xf numFmtId="0" fontId="1" fillId="24" borderId="4" xfId="0" applyFont="1" applyFill="1" applyBorder="1" applyAlignment="1" applyProtection="1">
      <alignment horizontal="center"/>
      <protection locked="0"/>
    </xf>
    <xf numFmtId="1" fontId="1" fillId="30" borderId="4" xfId="0" applyNumberFormat="1" applyFont="1" applyFill="1" applyBorder="1" applyAlignment="1">
      <alignment horizontal="center"/>
    </xf>
    <xf numFmtId="21" fontId="1" fillId="24" borderId="4" xfId="0" applyNumberFormat="1" applyFont="1" applyFill="1" applyBorder="1" applyProtection="1">
      <protection locked="0"/>
    </xf>
    <xf numFmtId="20" fontId="1" fillId="24" borderId="4" xfId="0" applyNumberFormat="1" applyFont="1" applyFill="1" applyBorder="1" applyProtection="1">
      <protection locked="0"/>
    </xf>
    <xf numFmtId="2" fontId="1" fillId="31" borderId="4" xfId="0" applyNumberFormat="1" applyFont="1" applyFill="1" applyBorder="1" applyProtection="1">
      <protection locked="0"/>
    </xf>
    <xf numFmtId="2" fontId="1" fillId="28" borderId="27" xfId="0" applyNumberFormat="1" applyFont="1" applyFill="1" applyBorder="1" applyProtection="1">
      <protection locked="0"/>
    </xf>
    <xf numFmtId="2" fontId="1" fillId="32" borderId="27" xfId="0" applyNumberFormat="1" applyFont="1" applyFill="1" applyBorder="1"/>
    <xf numFmtId="167" fontId="10" fillId="33" borderId="4" xfId="0" applyNumberFormat="1" applyFont="1" applyFill="1" applyBorder="1"/>
    <xf numFmtId="170" fontId="1" fillId="24" borderId="4" xfId="0" applyNumberFormat="1" applyFont="1" applyFill="1" applyBorder="1" applyProtection="1">
      <protection locked="0"/>
    </xf>
    <xf numFmtId="49" fontId="1" fillId="34" borderId="23" xfId="0" applyNumberFormat="1" applyFont="1" applyFill="1" applyBorder="1" applyAlignment="1">
      <alignment horizontal="left"/>
    </xf>
    <xf numFmtId="2" fontId="1" fillId="35" borderId="4" xfId="0" applyNumberFormat="1" applyFont="1" applyFill="1" applyBorder="1" applyAlignment="1" applyProtection="1">
      <alignment horizontal="center"/>
      <protection locked="0"/>
    </xf>
    <xf numFmtId="20" fontId="1" fillId="28" borderId="4" xfId="0" applyNumberFormat="1" applyFont="1" applyFill="1" applyBorder="1" applyProtection="1">
      <protection locked="0"/>
    </xf>
    <xf numFmtId="0" fontId="1" fillId="2" borderId="16" xfId="0" applyFont="1" applyFill="1" applyBorder="1"/>
    <xf numFmtId="0" fontId="11" fillId="2" borderId="17" xfId="0" applyFont="1" applyFill="1" applyBorder="1"/>
    <xf numFmtId="0" fontId="7" fillId="2" borderId="17" xfId="0" applyFont="1" applyFill="1" applyBorder="1"/>
    <xf numFmtId="0" fontId="1" fillId="2" borderId="18" xfId="0" applyFont="1" applyFill="1" applyBorder="1"/>
    <xf numFmtId="9" fontId="1" fillId="28" borderId="4" xfId="0" applyNumberFormat="1" applyFont="1" applyFill="1" applyBorder="1" applyProtection="1">
      <protection locked="0"/>
    </xf>
    <xf numFmtId="0" fontId="1" fillId="30" borderId="4" xfId="0" applyFont="1" applyFill="1" applyBorder="1" applyProtection="1">
      <protection locked="0"/>
    </xf>
    <xf numFmtId="0" fontId="18" fillId="14" borderId="22" xfId="0" applyFont="1" applyFill="1" applyBorder="1" applyAlignment="1">
      <alignment horizontal="left"/>
    </xf>
    <xf numFmtId="0" fontId="18" fillId="14" borderId="23" xfId="0" applyFont="1" applyFill="1" applyBorder="1" applyAlignment="1">
      <alignment horizontal="left"/>
    </xf>
    <xf numFmtId="0" fontId="1" fillId="4" borderId="28" xfId="0" applyFont="1" applyFill="1" applyBorder="1"/>
    <xf numFmtId="0" fontId="22" fillId="28" borderId="4" xfId="0" applyFont="1" applyFill="1" applyBorder="1" applyAlignment="1" applyProtection="1">
      <alignment horizontal="center"/>
      <protection locked="0"/>
    </xf>
    <xf numFmtId="2" fontId="22" fillId="28" borderId="4" xfId="0" applyNumberFormat="1" applyFont="1" applyFill="1" applyBorder="1" applyAlignment="1" applyProtection="1">
      <alignment horizontal="right"/>
      <protection locked="0"/>
    </xf>
    <xf numFmtId="2" fontId="1" fillId="32" borderId="4" xfId="0" applyNumberFormat="1" applyFont="1" applyFill="1" applyBorder="1"/>
    <xf numFmtId="2" fontId="1" fillId="32" borderId="4" xfId="0" applyNumberFormat="1" applyFont="1" applyFill="1" applyBorder="1" applyProtection="1">
      <protection locked="0"/>
    </xf>
    <xf numFmtId="0" fontId="1" fillId="2" borderId="19" xfId="0" applyFont="1" applyFill="1" applyBorder="1" applyAlignment="1">
      <alignment horizontal="right"/>
    </xf>
    <xf numFmtId="166" fontId="22" fillId="28" borderId="4" xfId="0" applyNumberFormat="1" applyFont="1" applyFill="1" applyBorder="1" applyProtection="1">
      <protection locked="0"/>
    </xf>
    <xf numFmtId="0" fontId="22" fillId="28" borderId="4" xfId="0" applyFont="1" applyFill="1" applyBorder="1" applyProtection="1">
      <protection locked="0"/>
    </xf>
    <xf numFmtId="0" fontId="10" fillId="2" borderId="0" xfId="0" applyFont="1" applyFill="1"/>
    <xf numFmtId="0" fontId="6" fillId="2" borderId="0" xfId="0" applyFont="1" applyFill="1"/>
    <xf numFmtId="0" fontId="28" fillId="2" borderId="0" xfId="0" applyFont="1" applyFill="1"/>
    <xf numFmtId="0" fontId="1" fillId="37" borderId="0" xfId="0" applyFont="1" applyFill="1"/>
    <xf numFmtId="0" fontId="1" fillId="38" borderId="4" xfId="0" applyFont="1" applyFill="1" applyBorder="1" applyProtection="1">
      <protection locked="0"/>
    </xf>
    <xf numFmtId="49" fontId="1" fillId="34" borderId="23" xfId="0" applyNumberFormat="1" applyFont="1" applyFill="1" applyBorder="1"/>
    <xf numFmtId="0" fontId="1" fillId="0" borderId="29" xfId="0" applyFont="1" applyBorder="1"/>
    <xf numFmtId="0" fontId="1" fillId="0" borderId="30" xfId="0" applyFont="1" applyBorder="1"/>
    <xf numFmtId="164" fontId="1" fillId="0" borderId="31" xfId="0" applyNumberFormat="1" applyFont="1" applyBorder="1"/>
    <xf numFmtId="0" fontId="1" fillId="0" borderId="32" xfId="0" applyFont="1" applyBorder="1"/>
    <xf numFmtId="0" fontId="1" fillId="0" borderId="4" xfId="0" applyFont="1" applyBorder="1"/>
    <xf numFmtId="164" fontId="1" fillId="0" borderId="33" xfId="0" applyNumberFormat="1" applyFont="1" applyBorder="1"/>
    <xf numFmtId="0" fontId="1" fillId="40" borderId="4" xfId="0" applyFont="1" applyFill="1" applyBorder="1"/>
    <xf numFmtId="0" fontId="1" fillId="0" borderId="34" xfId="0" applyFont="1" applyBorder="1"/>
    <xf numFmtId="0" fontId="1" fillId="0" borderId="35" xfId="0" applyFont="1" applyBorder="1"/>
    <xf numFmtId="164" fontId="1" fillId="0" borderId="36" xfId="0" applyNumberFormat="1" applyFont="1" applyBorder="1"/>
    <xf numFmtId="164" fontId="1" fillId="0" borderId="0" xfId="0" applyNumberFormat="1" applyFont="1"/>
    <xf numFmtId="0" fontId="2" fillId="0" borderId="0" xfId="0" applyFont="1"/>
    <xf numFmtId="0" fontId="1" fillId="0" borderId="5" xfId="0" applyFont="1" applyBorder="1"/>
    <xf numFmtId="0" fontId="1" fillId="0" borderId="6" xfId="0" applyFont="1" applyBorder="1"/>
    <xf numFmtId="49" fontId="2" fillId="34" borderId="23" xfId="0" applyNumberFormat="1" applyFont="1" applyFill="1" applyBorder="1"/>
    <xf numFmtId="0" fontId="1" fillId="0" borderId="7" xfId="0" applyFont="1" applyBorder="1"/>
    <xf numFmtId="0" fontId="1" fillId="0" borderId="8" xfId="0" applyFont="1" applyBorder="1"/>
    <xf numFmtId="0" fontId="1" fillId="0" borderId="9" xfId="0" applyFont="1" applyBorder="1"/>
    <xf numFmtId="49" fontId="2" fillId="34" borderId="28" xfId="0" applyNumberFormat="1" applyFont="1" applyFill="1" applyBorder="1"/>
    <xf numFmtId="0" fontId="1" fillId="16" borderId="7" xfId="0" applyFont="1" applyFill="1" applyBorder="1"/>
    <xf numFmtId="0" fontId="1" fillId="16" borderId="9" xfId="0" applyFont="1" applyFill="1" applyBorder="1"/>
    <xf numFmtId="0" fontId="31" fillId="0" borderId="0" xfId="0" applyFont="1" applyAlignment="1">
      <alignment horizontal="center" wrapText="1"/>
    </xf>
    <xf numFmtId="0" fontId="31" fillId="41" borderId="0" xfId="0" applyFont="1" applyFill="1" applyAlignment="1">
      <alignment horizontal="center" wrapText="1"/>
    </xf>
    <xf numFmtId="0" fontId="31" fillId="20" borderId="0" xfId="0" applyFont="1" applyFill="1" applyAlignment="1">
      <alignment horizontal="center" wrapText="1"/>
    </xf>
    <xf numFmtId="0" fontId="31" fillId="38" borderId="0" xfId="0" applyFont="1" applyFill="1" applyAlignment="1">
      <alignment horizontal="center" wrapText="1"/>
    </xf>
    <xf numFmtId="0" fontId="31" fillId="42" borderId="0" xfId="0" applyFont="1" applyFill="1" applyAlignment="1">
      <alignment horizontal="center" wrapText="1"/>
    </xf>
    <xf numFmtId="0" fontId="31" fillId="43" borderId="0" xfId="0" applyFont="1" applyFill="1" applyAlignment="1">
      <alignment horizontal="center" wrapText="1"/>
    </xf>
    <xf numFmtId="0" fontId="31" fillId="44" borderId="0" xfId="0" applyFont="1" applyFill="1" applyAlignment="1">
      <alignment horizontal="center" wrapText="1"/>
    </xf>
    <xf numFmtId="0" fontId="31" fillId="45" borderId="0" xfId="0" applyFont="1" applyFill="1" applyAlignment="1">
      <alignment horizontal="center" wrapText="1"/>
    </xf>
    <xf numFmtId="0" fontId="31" fillId="46" borderId="0" xfId="0" applyFont="1" applyFill="1" applyAlignment="1">
      <alignment horizontal="center" wrapText="1"/>
    </xf>
    <xf numFmtId="0" fontId="31" fillId="47" borderId="0" xfId="0" applyFont="1" applyFill="1" applyAlignment="1">
      <alignment horizontal="center" wrapText="1"/>
    </xf>
    <xf numFmtId="0" fontId="31" fillId="48" borderId="0" xfId="0" applyFont="1" applyFill="1" applyAlignment="1">
      <alignment horizontal="center" wrapText="1"/>
    </xf>
    <xf numFmtId="0" fontId="31" fillId="49" borderId="0" xfId="0" applyFont="1" applyFill="1" applyAlignment="1">
      <alignment horizontal="center" wrapText="1"/>
    </xf>
    <xf numFmtId="0" fontId="31" fillId="50" borderId="0" xfId="0" applyFont="1" applyFill="1" applyAlignment="1">
      <alignment horizontal="center" wrapText="1"/>
    </xf>
    <xf numFmtId="0" fontId="31" fillId="51" borderId="0" xfId="0" applyFont="1" applyFill="1" applyAlignment="1">
      <alignment horizontal="center" wrapText="1"/>
    </xf>
    <xf numFmtId="0" fontId="31" fillId="52" borderId="0" xfId="0" applyFont="1" applyFill="1" applyAlignment="1">
      <alignment horizontal="center" wrapText="1"/>
    </xf>
    <xf numFmtId="0" fontId="31" fillId="53" borderId="0" xfId="0" applyFont="1" applyFill="1" applyAlignment="1">
      <alignment horizontal="center" wrapText="1"/>
    </xf>
    <xf numFmtId="0" fontId="31" fillId="54" borderId="0" xfId="0" applyFont="1" applyFill="1" applyAlignment="1">
      <alignment horizontal="center" wrapText="1"/>
    </xf>
    <xf numFmtId="0" fontId="31" fillId="55" borderId="0" xfId="0" applyFont="1" applyFill="1" applyAlignment="1">
      <alignment horizontal="center" wrapText="1"/>
    </xf>
    <xf numFmtId="0" fontId="31" fillId="56" borderId="0" xfId="0" applyFont="1" applyFill="1" applyAlignment="1">
      <alignment horizontal="center" wrapText="1"/>
    </xf>
    <xf numFmtId="0" fontId="31" fillId="57" borderId="0" xfId="0" applyFont="1" applyFill="1" applyAlignment="1">
      <alignment horizontal="center" wrapText="1"/>
    </xf>
    <xf numFmtId="0" fontId="31" fillId="58" borderId="0" xfId="0" applyFont="1" applyFill="1" applyAlignment="1">
      <alignment horizontal="center" wrapText="1"/>
    </xf>
    <xf numFmtId="0" fontId="31" fillId="59" borderId="0" xfId="0" applyFont="1" applyFill="1" applyAlignment="1">
      <alignment horizontal="center" wrapText="1"/>
    </xf>
    <xf numFmtId="0" fontId="31" fillId="60" borderId="0" xfId="0" applyFont="1" applyFill="1" applyAlignment="1">
      <alignment horizontal="center" wrapText="1"/>
    </xf>
    <xf numFmtId="0" fontId="31" fillId="61" borderId="0" xfId="0" applyFont="1" applyFill="1" applyAlignment="1">
      <alignment horizontal="center" wrapText="1"/>
    </xf>
    <xf numFmtId="0" fontId="31" fillId="62" borderId="0" xfId="0" applyFont="1" applyFill="1" applyAlignment="1">
      <alignment horizontal="center" wrapText="1"/>
    </xf>
    <xf numFmtId="0" fontId="31" fillId="63" borderId="0" xfId="0" applyFont="1" applyFill="1" applyAlignment="1">
      <alignment horizontal="center" wrapText="1"/>
    </xf>
    <xf numFmtId="0" fontId="31" fillId="64" borderId="0" xfId="0" applyFont="1" applyFill="1" applyAlignment="1">
      <alignment horizontal="center" wrapText="1"/>
    </xf>
    <xf numFmtId="0" fontId="22" fillId="0" borderId="0" xfId="0" applyFont="1" applyAlignment="1">
      <alignment horizontal="center"/>
    </xf>
    <xf numFmtId="2" fontId="22" fillId="0" borderId="0" xfId="0" applyNumberFormat="1" applyFont="1" applyAlignment="1">
      <alignment horizontal="center"/>
    </xf>
    <xf numFmtId="15" fontId="22" fillId="0" borderId="0" xfId="0" applyNumberFormat="1" applyFont="1" applyAlignment="1">
      <alignment horizontal="center"/>
    </xf>
    <xf numFmtId="1" fontId="22" fillId="0" borderId="0" xfId="0" applyNumberFormat="1" applyFont="1" applyAlignment="1">
      <alignment horizontal="center"/>
    </xf>
    <xf numFmtId="166" fontId="22" fillId="0" borderId="0" xfId="0" applyNumberFormat="1" applyFont="1" applyAlignment="1">
      <alignment horizontal="center"/>
    </xf>
    <xf numFmtId="0" fontId="22" fillId="0" borderId="0" xfId="0" applyFont="1" applyAlignment="1">
      <alignment horizontal="left"/>
    </xf>
    <xf numFmtId="172" fontId="22" fillId="0" borderId="0" xfId="0" applyNumberFormat="1" applyFont="1" applyAlignment="1">
      <alignment horizontal="center"/>
    </xf>
    <xf numFmtId="173" fontId="22" fillId="0" borderId="0" xfId="0" applyNumberFormat="1" applyFont="1" applyAlignment="1">
      <alignment horizontal="center"/>
    </xf>
    <xf numFmtId="174" fontId="22" fillId="0" borderId="0" xfId="0" applyNumberFormat="1" applyFont="1" applyAlignment="1">
      <alignment horizontal="center"/>
    </xf>
    <xf numFmtId="175" fontId="22" fillId="0" borderId="0" xfId="0" applyNumberFormat="1" applyFont="1" applyAlignment="1">
      <alignment horizontal="center"/>
    </xf>
    <xf numFmtId="2" fontId="22" fillId="41" borderId="0" xfId="0" applyNumberFormat="1" applyFont="1" applyFill="1" applyAlignment="1">
      <alignment horizontal="center"/>
    </xf>
    <xf numFmtId="15" fontId="22" fillId="41" borderId="0" xfId="0" applyNumberFormat="1" applyFont="1" applyFill="1" applyAlignment="1">
      <alignment horizontal="center"/>
    </xf>
    <xf numFmtId="175" fontId="22" fillId="20" borderId="0" xfId="0" applyNumberFormat="1" applyFont="1" applyFill="1" applyAlignment="1">
      <alignment horizontal="center"/>
    </xf>
    <xf numFmtId="176" fontId="22" fillId="0" borderId="0" xfId="0" applyNumberFormat="1" applyFont="1" applyAlignment="1">
      <alignment horizontal="center"/>
    </xf>
    <xf numFmtId="0" fontId="22" fillId="38" borderId="0" xfId="0" applyFont="1" applyFill="1" applyAlignment="1">
      <alignment horizontal="center"/>
    </xf>
    <xf numFmtId="0" fontId="22" fillId="20" borderId="0" xfId="0" applyFont="1" applyFill="1" applyAlignment="1">
      <alignment horizontal="center"/>
    </xf>
    <xf numFmtId="0" fontId="22" fillId="41" borderId="0" xfId="0" applyFont="1" applyFill="1" applyAlignment="1">
      <alignment horizontal="center"/>
    </xf>
    <xf numFmtId="164" fontId="22" fillId="0" borderId="0" xfId="0" applyNumberFormat="1" applyFont="1" applyAlignment="1">
      <alignment horizontal="center"/>
    </xf>
    <xf numFmtId="9" fontId="22" fillId="0" borderId="0" xfId="0" applyNumberFormat="1" applyFont="1" applyAlignment="1">
      <alignment horizontal="center"/>
    </xf>
    <xf numFmtId="1" fontId="22" fillId="38" borderId="0" xfId="0" applyNumberFormat="1" applyFont="1" applyFill="1" applyAlignment="1">
      <alignment horizontal="center"/>
    </xf>
    <xf numFmtId="0" fontId="1" fillId="0" borderId="0" xfId="0" applyFont="1" applyAlignment="1">
      <alignment horizontal="center"/>
    </xf>
    <xf numFmtId="0" fontId="22" fillId="43" borderId="0" xfId="0" applyFont="1" applyFill="1" applyAlignment="1">
      <alignment horizontal="center"/>
    </xf>
    <xf numFmtId="0" fontId="22" fillId="56" borderId="0" xfId="0" applyFont="1" applyFill="1" applyAlignment="1">
      <alignment horizontal="center"/>
    </xf>
    <xf numFmtId="164" fontId="22" fillId="56" borderId="0" xfId="0" applyNumberFormat="1" applyFont="1" applyFill="1" applyAlignment="1">
      <alignment horizontal="center"/>
    </xf>
    <xf numFmtId="177" fontId="22" fillId="56" borderId="0" xfId="0" applyNumberFormat="1" applyFont="1" applyFill="1" applyAlignment="1">
      <alignment horizontal="center"/>
    </xf>
    <xf numFmtId="2" fontId="22" fillId="56" borderId="0" xfId="0" applyNumberFormat="1" applyFont="1" applyFill="1" applyAlignment="1">
      <alignment horizontal="center"/>
    </xf>
    <xf numFmtId="0" fontId="22" fillId="44" borderId="0" xfId="0" applyFont="1" applyFill="1" applyAlignment="1">
      <alignment horizontal="center"/>
    </xf>
    <xf numFmtId="164" fontId="22" fillId="44" borderId="0" xfId="0" applyNumberFormat="1" applyFont="1" applyFill="1" applyAlignment="1">
      <alignment horizontal="center"/>
    </xf>
    <xf numFmtId="177" fontId="22" fillId="44" borderId="0" xfId="0" applyNumberFormat="1" applyFont="1" applyFill="1" applyAlignment="1">
      <alignment horizontal="center"/>
    </xf>
    <xf numFmtId="2" fontId="22" fillId="44" borderId="0" xfId="0" applyNumberFormat="1" applyFont="1" applyFill="1" applyAlignment="1">
      <alignment horizontal="center"/>
    </xf>
    <xf numFmtId="0" fontId="22" fillId="57" borderId="0" xfId="0" applyFont="1" applyFill="1" applyAlignment="1">
      <alignment horizontal="center"/>
    </xf>
    <xf numFmtId="164" fontId="22" fillId="57" borderId="0" xfId="0" applyNumberFormat="1" applyFont="1" applyFill="1" applyAlignment="1">
      <alignment horizontal="center"/>
    </xf>
    <xf numFmtId="177" fontId="22" fillId="57" borderId="0" xfId="0" applyNumberFormat="1" applyFont="1" applyFill="1" applyAlignment="1">
      <alignment horizontal="center"/>
    </xf>
    <xf numFmtId="2" fontId="22" fillId="57" borderId="0" xfId="0" applyNumberFormat="1" applyFont="1" applyFill="1" applyAlignment="1">
      <alignment horizontal="center"/>
    </xf>
    <xf numFmtId="0" fontId="22" fillId="58" borderId="0" xfId="0" applyFont="1" applyFill="1" applyAlignment="1">
      <alignment horizontal="center"/>
    </xf>
    <xf numFmtId="164" fontId="22" fillId="58" borderId="0" xfId="0" applyNumberFormat="1" applyFont="1" applyFill="1" applyAlignment="1">
      <alignment horizontal="center"/>
    </xf>
    <xf numFmtId="177" fontId="22" fillId="58" borderId="0" xfId="0" applyNumberFormat="1" applyFont="1" applyFill="1" applyAlignment="1">
      <alignment horizontal="center"/>
    </xf>
    <xf numFmtId="2" fontId="22" fillId="58" borderId="0" xfId="0" applyNumberFormat="1" applyFont="1" applyFill="1" applyAlignment="1">
      <alignment horizontal="center"/>
    </xf>
    <xf numFmtId="0" fontId="22" fillId="59" borderId="0" xfId="0" applyFont="1" applyFill="1" applyAlignment="1">
      <alignment horizontal="center"/>
    </xf>
    <xf numFmtId="164" fontId="22" fillId="59" borderId="0" xfId="0" applyNumberFormat="1" applyFont="1" applyFill="1" applyAlignment="1">
      <alignment horizontal="center"/>
    </xf>
    <xf numFmtId="177" fontId="22" fillId="59" borderId="0" xfId="0" applyNumberFormat="1" applyFont="1" applyFill="1" applyAlignment="1">
      <alignment horizontal="center"/>
    </xf>
    <xf numFmtId="2" fontId="22" fillId="59" borderId="0" xfId="0" applyNumberFormat="1" applyFont="1" applyFill="1" applyAlignment="1">
      <alignment horizontal="center"/>
    </xf>
    <xf numFmtId="0" fontId="22" fillId="60" borderId="0" xfId="0" applyFont="1" applyFill="1" applyAlignment="1">
      <alignment horizontal="center"/>
    </xf>
    <xf numFmtId="164" fontId="22" fillId="60" borderId="0" xfId="0" applyNumberFormat="1" applyFont="1" applyFill="1" applyAlignment="1">
      <alignment horizontal="center"/>
    </xf>
    <xf numFmtId="177" fontId="22" fillId="60" borderId="0" xfId="0" applyNumberFormat="1" applyFont="1" applyFill="1" applyAlignment="1">
      <alignment horizontal="center"/>
    </xf>
    <xf numFmtId="2" fontId="22" fillId="60" borderId="0" xfId="0" applyNumberFormat="1" applyFont="1" applyFill="1" applyAlignment="1">
      <alignment horizontal="center"/>
    </xf>
    <xf numFmtId="0" fontId="22" fillId="61" borderId="0" xfId="0" applyFont="1" applyFill="1" applyAlignment="1">
      <alignment horizontal="center"/>
    </xf>
    <xf numFmtId="164" fontId="22" fillId="61" borderId="0" xfId="0" applyNumberFormat="1" applyFont="1" applyFill="1" applyAlignment="1">
      <alignment horizontal="center"/>
    </xf>
    <xf numFmtId="177" fontId="22" fillId="61" borderId="0" xfId="0" applyNumberFormat="1" applyFont="1" applyFill="1" applyAlignment="1">
      <alignment horizontal="center"/>
    </xf>
    <xf numFmtId="2" fontId="22" fillId="61" borderId="0" xfId="0" applyNumberFormat="1" applyFont="1" applyFill="1" applyAlignment="1">
      <alignment horizontal="center"/>
    </xf>
    <xf numFmtId="0" fontId="0" fillId="38" borderId="0" xfId="0" applyFill="1"/>
    <xf numFmtId="2" fontId="0" fillId="38" borderId="0" xfId="0" applyNumberFormat="1" applyFill="1"/>
    <xf numFmtId="2" fontId="0" fillId="0" borderId="0" xfId="0" applyNumberFormat="1"/>
    <xf numFmtId="0" fontId="0" fillId="65" borderId="0" xfId="0" applyFill="1"/>
    <xf numFmtId="0" fontId="0" fillId="66" borderId="0" xfId="0" applyFill="1"/>
    <xf numFmtId="0" fontId="0" fillId="20" borderId="0" xfId="0" applyFill="1"/>
    <xf numFmtId="0" fontId="32" fillId="0" borderId="0" xfId="0" applyFont="1" applyAlignment="1">
      <alignment horizontal="left"/>
    </xf>
    <xf numFmtId="0" fontId="0" fillId="0" borderId="0" xfId="0" applyAlignment="1">
      <alignment horizontal="left"/>
    </xf>
    <xf numFmtId="0" fontId="6" fillId="67" borderId="4" xfId="0" applyFont="1" applyFill="1" applyBorder="1" applyAlignment="1">
      <alignment horizontal="center" vertical="center" wrapText="1"/>
    </xf>
    <xf numFmtId="167" fontId="6" fillId="67" borderId="4" xfId="0" applyNumberFormat="1" applyFont="1" applyFill="1" applyBorder="1" applyAlignment="1">
      <alignment horizontal="center" vertical="center" wrapText="1"/>
    </xf>
    <xf numFmtId="178" fontId="6" fillId="68" borderId="4" xfId="0" applyNumberFormat="1" applyFont="1" applyFill="1" applyBorder="1" applyAlignment="1">
      <alignment horizontal="center" vertical="center" wrapText="1"/>
    </xf>
    <xf numFmtId="0" fontId="6" fillId="68" borderId="4" xfId="0" applyFont="1" applyFill="1" applyBorder="1" applyAlignment="1">
      <alignment horizontal="center" vertical="center" wrapText="1"/>
    </xf>
    <xf numFmtId="49" fontId="6" fillId="68" borderId="4" xfId="0" applyNumberFormat="1" applyFont="1" applyFill="1" applyBorder="1" applyAlignment="1">
      <alignment horizontal="center" vertical="center" wrapText="1"/>
    </xf>
    <xf numFmtId="178" fontId="6" fillId="69" borderId="4" xfId="0" applyNumberFormat="1" applyFont="1" applyFill="1" applyBorder="1" applyAlignment="1">
      <alignment horizontal="center" vertical="center" wrapText="1"/>
    </xf>
    <xf numFmtId="0" fontId="6" fillId="69" borderId="4" xfId="0" applyFont="1" applyFill="1" applyBorder="1" applyAlignment="1">
      <alignment horizontal="center" vertical="center" wrapText="1"/>
    </xf>
    <xf numFmtId="49" fontId="6" fillId="69" borderId="4" xfId="0" applyNumberFormat="1" applyFont="1" applyFill="1" applyBorder="1" applyAlignment="1">
      <alignment horizontal="center" vertical="center" wrapText="1"/>
    </xf>
    <xf numFmtId="49" fontId="6" fillId="70" borderId="4" xfId="0" applyNumberFormat="1" applyFont="1" applyFill="1" applyBorder="1" applyAlignment="1">
      <alignment horizontal="center" vertical="center" wrapText="1"/>
    </xf>
    <xf numFmtId="1" fontId="6" fillId="71" borderId="4" xfId="0" applyNumberFormat="1" applyFont="1" applyFill="1" applyBorder="1" applyAlignment="1">
      <alignment horizontal="center" vertical="center" wrapText="1"/>
    </xf>
    <xf numFmtId="0" fontId="10" fillId="0" borderId="0" xfId="0" applyFont="1" applyAlignment="1">
      <alignment horizontal="center"/>
    </xf>
    <xf numFmtId="2" fontId="10" fillId="0" borderId="0" xfId="0" applyNumberFormat="1" applyFont="1" applyAlignment="1">
      <alignment horizontal="center"/>
    </xf>
    <xf numFmtId="164" fontId="10" fillId="0" borderId="0" xfId="0" applyNumberFormat="1" applyFont="1" applyAlignment="1">
      <alignment horizontal="center"/>
    </xf>
    <xf numFmtId="0" fontId="9" fillId="67" borderId="4" xfId="2" applyFont="1" applyFill="1" applyBorder="1" applyAlignment="1">
      <alignment horizontal="center" vertical="center" wrapText="1"/>
    </xf>
    <xf numFmtId="2" fontId="9" fillId="67" borderId="4" xfId="2" applyNumberFormat="1" applyFont="1" applyFill="1" applyBorder="1" applyAlignment="1">
      <alignment horizontal="center" vertical="center" wrapText="1"/>
    </xf>
    <xf numFmtId="2" fontId="33" fillId="68" borderId="4" xfId="2" applyNumberFormat="1" applyFont="1" applyFill="1" applyBorder="1" applyAlignment="1">
      <alignment horizontal="center" vertical="center" wrapText="1"/>
    </xf>
    <xf numFmtId="164" fontId="33" fillId="68" borderId="4" xfId="2" applyNumberFormat="1" applyFont="1" applyFill="1" applyBorder="1" applyAlignment="1">
      <alignment horizontal="center" vertical="center" wrapText="1"/>
    </xf>
    <xf numFmtId="0" fontId="33" fillId="68" borderId="4" xfId="2" applyFont="1" applyFill="1" applyBorder="1" applyAlignment="1">
      <alignment horizontal="center" vertical="center" wrapText="1"/>
    </xf>
    <xf numFmtId="49" fontId="33" fillId="68" borderId="4" xfId="2" applyNumberFormat="1" applyFont="1" applyFill="1" applyBorder="1" applyAlignment="1">
      <alignment horizontal="center" vertical="center" wrapText="1"/>
    </xf>
    <xf numFmtId="167" fontId="33" fillId="68" borderId="4" xfId="2" applyNumberFormat="1" applyFont="1" applyFill="1" applyBorder="1" applyAlignment="1">
      <alignment horizontal="center" vertical="center" wrapText="1"/>
    </xf>
    <xf numFmtId="0" fontId="9" fillId="68" borderId="4" xfId="3" applyFont="1" applyFill="1" applyBorder="1" applyAlignment="1">
      <alignment horizontal="center" vertical="center" wrapText="1"/>
    </xf>
    <xf numFmtId="178" fontId="33" fillId="69" borderId="4" xfId="2" applyNumberFormat="1" applyFont="1" applyFill="1" applyBorder="1" applyAlignment="1">
      <alignment horizontal="center" vertical="center" wrapText="1"/>
    </xf>
    <xf numFmtId="0" fontId="6" fillId="69" borderId="4" xfId="2" applyFont="1" applyFill="1" applyBorder="1" applyAlignment="1">
      <alignment horizontal="center" vertical="center" wrapText="1"/>
    </xf>
    <xf numFmtId="49" fontId="6" fillId="69" borderId="4" xfId="2" applyNumberFormat="1" applyFont="1" applyFill="1" applyBorder="1" applyAlignment="1">
      <alignment horizontal="center" vertical="center" wrapText="1"/>
    </xf>
    <xf numFmtId="49" fontId="6" fillId="70" borderId="4" xfId="2" applyNumberFormat="1" applyFont="1" applyFill="1" applyBorder="1" applyAlignment="1">
      <alignment horizontal="center" vertical="center" wrapText="1"/>
    </xf>
    <xf numFmtId="2" fontId="6" fillId="72" borderId="4" xfId="2" applyNumberFormat="1" applyFont="1" applyFill="1" applyBorder="1" applyAlignment="1">
      <alignment horizontal="center" vertical="center" wrapText="1"/>
    </xf>
    <xf numFmtId="1" fontId="6" fillId="72" borderId="4" xfId="2" applyNumberFormat="1" applyFont="1" applyFill="1" applyBorder="1" applyAlignment="1">
      <alignment horizontal="center" vertical="center" wrapText="1"/>
    </xf>
    <xf numFmtId="0" fontId="33" fillId="72" borderId="4" xfId="2" applyFont="1" applyFill="1" applyBorder="1" applyAlignment="1">
      <alignment horizontal="center" vertical="center" wrapText="1"/>
    </xf>
    <xf numFmtId="0" fontId="33" fillId="72" borderId="4" xfId="2" applyFont="1" applyFill="1" applyBorder="1" applyAlignment="1">
      <alignment horizontal="left" vertical="center" wrapText="1"/>
    </xf>
    <xf numFmtId="179" fontId="9" fillId="73" borderId="4" xfId="2" applyNumberFormat="1" applyFont="1" applyFill="1" applyBorder="1" applyAlignment="1">
      <alignment horizontal="center" vertical="center" wrapText="1"/>
    </xf>
    <xf numFmtId="49" fontId="33" fillId="74" borderId="4" xfId="4" applyNumberFormat="1" applyFont="1" applyFill="1" applyBorder="1" applyAlignment="1">
      <alignment horizontal="center" vertical="center" wrapText="1"/>
    </xf>
    <xf numFmtId="179" fontId="9" fillId="0" borderId="4" xfId="2" applyNumberFormat="1" applyFont="1" applyBorder="1" applyAlignment="1">
      <alignment horizontal="center" vertical="center" wrapText="1"/>
    </xf>
    <xf numFmtId="49" fontId="33" fillId="75" borderId="4" xfId="4" applyNumberFormat="1" applyFont="1" applyFill="1" applyBorder="1" applyAlignment="1">
      <alignment horizontal="center" vertical="center" wrapText="1"/>
    </xf>
    <xf numFmtId="164" fontId="33" fillId="75" borderId="4" xfId="4" applyNumberFormat="1" applyFont="1" applyFill="1" applyBorder="1" applyAlignment="1">
      <alignment horizontal="center" vertical="center" wrapText="1"/>
    </xf>
    <xf numFmtId="0" fontId="1" fillId="0" borderId="0" xfId="0"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49" fontId="22" fillId="0" borderId="0" xfId="0" applyNumberFormat="1" applyFont="1" applyAlignment="1">
      <alignment horizontal="center"/>
    </xf>
    <xf numFmtId="49" fontId="10" fillId="0" borderId="0" xfId="0" applyNumberFormat="1" applyFont="1" applyAlignment="1">
      <alignment horizontal="center"/>
    </xf>
    <xf numFmtId="49" fontId="1" fillId="0" borderId="0" xfId="0" applyNumberFormat="1" applyFont="1" applyAlignment="1">
      <alignment horizontal="center" vertical="center"/>
    </xf>
    <xf numFmtId="0" fontId="1" fillId="28" borderId="4" xfId="0" applyFont="1" applyFill="1" applyBorder="1" applyAlignment="1" applyProtection="1">
      <alignment horizontal="left"/>
      <protection locked="0"/>
    </xf>
    <xf numFmtId="164" fontId="1" fillId="28" borderId="4" xfId="0" applyNumberFormat="1" applyFont="1" applyFill="1" applyBorder="1" applyAlignment="1" applyProtection="1">
      <alignment horizontal="center"/>
      <protection locked="0"/>
    </xf>
    <xf numFmtId="0" fontId="1" fillId="20" borderId="4" xfId="0" applyFont="1" applyFill="1" applyBorder="1" applyAlignment="1" applyProtection="1">
      <alignment horizontal="center"/>
      <protection locked="0"/>
    </xf>
    <xf numFmtId="0" fontId="1" fillId="28" borderId="4" xfId="0" applyFont="1" applyFill="1" applyBorder="1" applyAlignment="1" applyProtection="1">
      <alignment horizontal="center"/>
      <protection locked="0"/>
    </xf>
    <xf numFmtId="0" fontId="1" fillId="20" borderId="10" xfId="0" applyFont="1" applyFill="1" applyBorder="1" applyAlignment="1" applyProtection="1">
      <alignment horizontal="center"/>
      <protection locked="0"/>
    </xf>
    <xf numFmtId="0" fontId="1" fillId="20" borderId="12" xfId="0" applyFont="1" applyFill="1" applyBorder="1" applyAlignment="1" applyProtection="1">
      <alignment horizontal="center"/>
      <protection locked="0"/>
    </xf>
    <xf numFmtId="0" fontId="1" fillId="31" borderId="16" xfId="0" applyFont="1" applyFill="1" applyBorder="1" applyAlignment="1" applyProtection="1">
      <alignment horizontal="left" vertical="top" wrapText="1"/>
      <protection locked="0"/>
    </xf>
    <xf numFmtId="0" fontId="1" fillId="31" borderId="17" xfId="0" applyFont="1" applyFill="1" applyBorder="1" applyAlignment="1" applyProtection="1">
      <alignment horizontal="left" vertical="top" wrapText="1"/>
      <protection locked="0"/>
    </xf>
    <xf numFmtId="0" fontId="1" fillId="31" borderId="18" xfId="0" applyFont="1" applyFill="1" applyBorder="1" applyAlignment="1" applyProtection="1">
      <alignment horizontal="left" vertical="top" wrapText="1"/>
      <protection locked="0"/>
    </xf>
    <xf numFmtId="0" fontId="1" fillId="31" borderId="13" xfId="0" applyFont="1" applyFill="1" applyBorder="1" applyAlignment="1" applyProtection="1">
      <alignment horizontal="left" vertical="top" wrapText="1"/>
      <protection locked="0"/>
    </xf>
    <xf numFmtId="0" fontId="1" fillId="31" borderId="0" xfId="0" applyFont="1" applyFill="1" applyAlignment="1" applyProtection="1">
      <alignment horizontal="left" vertical="top" wrapText="1"/>
      <protection locked="0"/>
    </xf>
    <xf numFmtId="0" fontId="1" fillId="31" borderId="25" xfId="0" applyFont="1" applyFill="1" applyBorder="1" applyAlignment="1" applyProtection="1">
      <alignment horizontal="left" vertical="top" wrapText="1"/>
      <protection locked="0"/>
    </xf>
    <xf numFmtId="0" fontId="1" fillId="31" borderId="19" xfId="0" applyFont="1" applyFill="1" applyBorder="1" applyAlignment="1" applyProtection="1">
      <alignment horizontal="left" vertical="top" wrapText="1"/>
      <protection locked="0"/>
    </xf>
    <xf numFmtId="0" fontId="1" fillId="31" borderId="20" xfId="0" applyFont="1" applyFill="1" applyBorder="1" applyAlignment="1" applyProtection="1">
      <alignment horizontal="left" vertical="top" wrapText="1"/>
      <protection locked="0"/>
    </xf>
    <xf numFmtId="0" fontId="1" fillId="31" borderId="21" xfId="0" applyFont="1" applyFill="1" applyBorder="1" applyAlignment="1" applyProtection="1">
      <alignment horizontal="left" vertical="top" wrapText="1"/>
      <protection locked="0"/>
    </xf>
    <xf numFmtId="0" fontId="1" fillId="24" borderId="4" xfId="0" quotePrefix="1" applyFont="1" applyFill="1" applyBorder="1" applyAlignment="1" applyProtection="1">
      <alignment horizontal="left"/>
      <protection locked="0"/>
    </xf>
    <xf numFmtId="0" fontId="1" fillId="24" borderId="4" xfId="0" applyFont="1" applyFill="1" applyBorder="1" applyAlignment="1" applyProtection="1">
      <alignment horizontal="left"/>
      <protection locked="0"/>
    </xf>
    <xf numFmtId="0" fontId="1" fillId="28" borderId="16" xfId="0" quotePrefix="1" applyFont="1" applyFill="1" applyBorder="1" applyAlignment="1" applyProtection="1">
      <alignment horizontal="left" vertical="top"/>
      <protection locked="0"/>
    </xf>
    <xf numFmtId="0" fontId="1" fillId="28" borderId="17" xfId="0" applyFont="1" applyFill="1" applyBorder="1" applyAlignment="1" applyProtection="1">
      <alignment vertical="top"/>
      <protection locked="0"/>
    </xf>
    <xf numFmtId="0" fontId="1" fillId="28" borderId="18" xfId="0" applyFont="1" applyFill="1" applyBorder="1" applyAlignment="1" applyProtection="1">
      <alignment vertical="top"/>
      <protection locked="0"/>
    </xf>
    <xf numFmtId="164" fontId="1" fillId="24" borderId="10" xfId="0" applyNumberFormat="1" applyFont="1" applyFill="1" applyBorder="1" applyAlignment="1" applyProtection="1">
      <alignment horizontal="center"/>
      <protection locked="0"/>
    </xf>
    <xf numFmtId="164" fontId="1" fillId="24" borderId="12" xfId="0" applyNumberFormat="1" applyFont="1" applyFill="1" applyBorder="1" applyAlignment="1" applyProtection="1">
      <alignment horizontal="center"/>
      <protection locked="0"/>
    </xf>
    <xf numFmtId="0" fontId="1" fillId="28" borderId="10" xfId="0" quotePrefix="1" applyFont="1" applyFill="1" applyBorder="1" applyAlignment="1" applyProtection="1">
      <alignment horizontal="left" vertical="top"/>
      <protection locked="0"/>
    </xf>
    <xf numFmtId="0" fontId="1" fillId="28" borderId="11" xfId="0" applyFont="1" applyFill="1" applyBorder="1" applyAlignment="1" applyProtection="1">
      <alignment vertical="top"/>
      <protection locked="0"/>
    </xf>
    <xf numFmtId="0" fontId="1" fillId="28" borderId="12" xfId="0" applyFont="1" applyFill="1" applyBorder="1" applyAlignment="1" applyProtection="1">
      <alignment vertical="top"/>
      <protection locked="0"/>
    </xf>
    <xf numFmtId="0" fontId="1" fillId="24" borderId="4" xfId="0" applyFont="1" applyFill="1" applyBorder="1" applyAlignment="1" applyProtection="1">
      <alignment horizontal="center"/>
      <protection locked="0"/>
    </xf>
    <xf numFmtId="0" fontId="1" fillId="8" borderId="10" xfId="0" applyFont="1" applyFill="1" applyBorder="1" applyAlignment="1" applyProtection="1">
      <alignment horizontal="left" vertical="top"/>
      <protection locked="0"/>
    </xf>
    <xf numFmtId="0" fontId="1" fillId="8" borderId="11" xfId="0" applyFont="1" applyFill="1" applyBorder="1" applyAlignment="1" applyProtection="1">
      <alignment horizontal="left" vertical="top"/>
      <protection locked="0"/>
    </xf>
    <xf numFmtId="0" fontId="1" fillId="8" borderId="12" xfId="0" applyFont="1" applyFill="1" applyBorder="1" applyAlignment="1" applyProtection="1">
      <alignment horizontal="left" vertical="top"/>
      <protection locked="0"/>
    </xf>
    <xf numFmtId="0" fontId="1" fillId="8" borderId="10" xfId="0" applyFont="1" applyFill="1" applyBorder="1" applyAlignment="1" applyProtection="1">
      <alignment horizontal="center"/>
      <protection locked="0"/>
    </xf>
    <xf numFmtId="0" fontId="1" fillId="8" borderId="12" xfId="0" applyFont="1" applyFill="1" applyBorder="1" applyAlignment="1" applyProtection="1">
      <alignment horizontal="center"/>
      <protection locked="0"/>
    </xf>
    <xf numFmtId="0" fontId="1" fillId="8" borderId="4" xfId="0" applyFont="1" applyFill="1" applyBorder="1" applyAlignment="1" applyProtection="1">
      <alignment horizontal="center"/>
      <protection locked="0"/>
    </xf>
    <xf numFmtId="0" fontId="1" fillId="39" borderId="10" xfId="0" applyFont="1" applyFill="1" applyBorder="1" applyAlignment="1" applyProtection="1">
      <alignment horizontal="left" vertical="top"/>
      <protection locked="0"/>
    </xf>
    <xf numFmtId="0" fontId="1" fillId="39" borderId="11" xfId="0" applyFont="1" applyFill="1" applyBorder="1" applyAlignment="1" applyProtection="1">
      <alignment horizontal="left" vertical="top"/>
      <protection locked="0"/>
    </xf>
    <xf numFmtId="0" fontId="1" fillId="39" borderId="12" xfId="0" applyFont="1" applyFill="1" applyBorder="1" applyAlignment="1" applyProtection="1">
      <alignment horizontal="left" vertical="top"/>
      <protection locked="0"/>
    </xf>
    <xf numFmtId="0" fontId="1" fillId="24" borderId="10" xfId="0" applyFont="1" applyFill="1" applyBorder="1" applyAlignment="1" applyProtection="1">
      <alignment horizontal="center"/>
      <protection locked="0"/>
    </xf>
    <xf numFmtId="0" fontId="1" fillId="24" borderId="12" xfId="0" applyFont="1" applyFill="1" applyBorder="1" applyAlignment="1" applyProtection="1">
      <alignment horizontal="center"/>
      <protection locked="0"/>
    </xf>
    <xf numFmtId="0" fontId="1" fillId="28" borderId="10" xfId="0" applyFont="1" applyFill="1" applyBorder="1" applyAlignment="1" applyProtection="1">
      <alignment horizontal="left" vertical="top"/>
      <protection locked="0"/>
    </xf>
    <xf numFmtId="0" fontId="1" fillId="28" borderId="11" xfId="0" applyFont="1" applyFill="1" applyBorder="1" applyAlignment="1" applyProtection="1">
      <alignment horizontal="left" vertical="top"/>
      <protection locked="0"/>
    </xf>
    <xf numFmtId="0" fontId="1" fillId="28" borderId="12" xfId="0" applyFont="1" applyFill="1" applyBorder="1" applyAlignment="1" applyProtection="1">
      <alignment horizontal="left" vertical="top"/>
      <protection locked="0"/>
    </xf>
    <xf numFmtId="0" fontId="1" fillId="24" borderId="10" xfId="0" applyFont="1" applyFill="1" applyBorder="1" applyAlignment="1" applyProtection="1">
      <alignment horizontal="left" vertical="top"/>
      <protection locked="0"/>
    </xf>
    <xf numFmtId="0" fontId="1" fillId="24" borderId="11" xfId="0" applyFont="1" applyFill="1" applyBorder="1" applyAlignment="1" applyProtection="1">
      <alignment horizontal="left" vertical="top"/>
      <protection locked="0"/>
    </xf>
    <xf numFmtId="0" fontId="1" fillId="24" borderId="12" xfId="0" applyFont="1" applyFill="1" applyBorder="1" applyAlignment="1" applyProtection="1">
      <alignment horizontal="left" vertical="top"/>
      <protection locked="0"/>
    </xf>
    <xf numFmtId="0" fontId="1" fillId="28" borderId="10" xfId="0" applyFont="1" applyFill="1" applyBorder="1" applyAlignment="1" applyProtection="1">
      <alignment horizontal="left" vertical="top" wrapText="1"/>
      <protection locked="0"/>
    </xf>
    <xf numFmtId="0" fontId="1" fillId="2" borderId="17" xfId="0" applyFont="1" applyFill="1" applyBorder="1" applyAlignment="1">
      <alignment horizontal="right"/>
    </xf>
    <xf numFmtId="0" fontId="1" fillId="2" borderId="18" xfId="0" applyFont="1" applyFill="1" applyBorder="1" applyAlignment="1">
      <alignment horizontal="right"/>
    </xf>
    <xf numFmtId="0" fontId="1" fillId="2" borderId="13" xfId="0" applyFont="1" applyFill="1" applyBorder="1" applyAlignment="1">
      <alignment horizontal="center"/>
    </xf>
    <xf numFmtId="0" fontId="1" fillId="28" borderId="10" xfId="0" applyFont="1" applyFill="1" applyBorder="1" applyAlignment="1" applyProtection="1">
      <alignment horizontal="left"/>
      <protection locked="0"/>
    </xf>
    <xf numFmtId="0" fontId="1" fillId="28" borderId="11" xfId="0" applyFont="1" applyFill="1" applyBorder="1" applyAlignment="1" applyProtection="1">
      <alignment horizontal="left"/>
      <protection locked="0"/>
    </xf>
    <xf numFmtId="0" fontId="1" fillId="28" borderId="12" xfId="0" applyFont="1" applyFill="1" applyBorder="1" applyAlignment="1" applyProtection="1">
      <alignment horizontal="left"/>
      <protection locked="0"/>
    </xf>
    <xf numFmtId="0" fontId="1" fillId="28" borderId="10" xfId="0" applyFont="1" applyFill="1" applyBorder="1" applyProtection="1">
      <protection locked="0"/>
    </xf>
    <xf numFmtId="0" fontId="1" fillId="28" borderId="11" xfId="0" applyFont="1" applyFill="1" applyBorder="1" applyProtection="1">
      <protection locked="0"/>
    </xf>
    <xf numFmtId="0" fontId="1" fillId="28" borderId="12" xfId="0" applyFont="1" applyFill="1" applyBorder="1" applyProtection="1">
      <protection locked="0"/>
    </xf>
    <xf numFmtId="171" fontId="26" fillId="36" borderId="10" xfId="0" applyNumberFormat="1" applyFont="1" applyFill="1" applyBorder="1" applyAlignment="1" applyProtection="1">
      <alignment horizontal="right"/>
      <protection locked="0"/>
    </xf>
    <xf numFmtId="171" fontId="26" fillId="36" borderId="12" xfId="0" applyNumberFormat="1" applyFont="1" applyFill="1" applyBorder="1" applyAlignment="1" applyProtection="1">
      <alignment horizontal="right"/>
      <protection locked="0"/>
    </xf>
    <xf numFmtId="49" fontId="1" fillId="12" borderId="4" xfId="0" applyNumberFormat="1" applyFont="1" applyFill="1" applyBorder="1" applyAlignment="1" applyProtection="1">
      <alignment horizontal="left" vertical="center"/>
      <protection locked="0"/>
    </xf>
    <xf numFmtId="2" fontId="1" fillId="8" borderId="4" xfId="0" applyNumberFormat="1" applyFont="1" applyFill="1" applyBorder="1" applyAlignment="1" applyProtection="1">
      <alignment horizontal="left"/>
      <protection locked="0"/>
    </xf>
    <xf numFmtId="0" fontId="1" fillId="23" borderId="4" xfId="0" applyFont="1" applyFill="1" applyBorder="1" applyAlignment="1" applyProtection="1">
      <alignment horizontal="left" vertical="center"/>
      <protection locked="0"/>
    </xf>
    <xf numFmtId="2" fontId="1" fillId="25" borderId="4" xfId="0" applyNumberFormat="1" applyFont="1" applyFill="1" applyBorder="1" applyAlignment="1" applyProtection="1">
      <alignment horizontal="center"/>
      <protection locked="0"/>
    </xf>
    <xf numFmtId="2" fontId="1" fillId="26" borderId="4" xfId="0" applyNumberFormat="1" applyFont="1" applyFill="1" applyBorder="1" applyAlignment="1" applyProtection="1">
      <alignment horizontal="center"/>
      <protection locked="0"/>
    </xf>
    <xf numFmtId="0" fontId="1" fillId="28" borderId="4" xfId="0" applyFont="1" applyFill="1" applyBorder="1" applyAlignment="1" applyProtection="1">
      <alignment vertical="center"/>
      <protection locked="0"/>
    </xf>
    <xf numFmtId="164" fontId="1" fillId="2" borderId="10" xfId="0" applyNumberFormat="1" applyFont="1" applyFill="1" applyBorder="1" applyAlignment="1">
      <alignment horizontal="left"/>
    </xf>
    <xf numFmtId="164" fontId="1" fillId="2" borderId="11" xfId="0" applyNumberFormat="1" applyFont="1" applyFill="1" applyBorder="1" applyAlignment="1">
      <alignment horizontal="left"/>
    </xf>
    <xf numFmtId="164" fontId="1" fillId="2" borderId="12" xfId="0" applyNumberFormat="1" applyFont="1" applyFill="1" applyBorder="1" applyAlignment="1">
      <alignment horizontal="left"/>
    </xf>
    <xf numFmtId="0" fontId="1" fillId="18" borderId="10" xfId="0" applyFont="1" applyFill="1" applyBorder="1" applyAlignment="1" applyProtection="1">
      <alignment horizontal="left"/>
      <protection locked="0"/>
    </xf>
    <xf numFmtId="0" fontId="1" fillId="18" borderId="11" xfId="0" applyFont="1" applyFill="1" applyBorder="1" applyAlignment="1" applyProtection="1">
      <alignment horizontal="left"/>
      <protection locked="0"/>
    </xf>
    <xf numFmtId="0" fontId="1" fillId="18" borderId="12" xfId="0" applyFont="1" applyFill="1" applyBorder="1" applyAlignment="1" applyProtection="1">
      <alignment horizontal="left"/>
      <protection locked="0"/>
    </xf>
    <xf numFmtId="0" fontId="1" fillId="12" borderId="10" xfId="0" applyFont="1" applyFill="1" applyBorder="1" applyProtection="1">
      <protection locked="0"/>
    </xf>
    <xf numFmtId="0" fontId="1" fillId="12" borderId="11" xfId="0" applyFont="1" applyFill="1" applyBorder="1" applyProtection="1">
      <protection locked="0"/>
    </xf>
    <xf numFmtId="0" fontId="1" fillId="12" borderId="12" xfId="0" applyFont="1" applyFill="1" applyBorder="1" applyProtection="1">
      <protection locked="0"/>
    </xf>
    <xf numFmtId="0" fontId="6" fillId="2" borderId="0" xfId="0" applyFont="1" applyFill="1" applyAlignment="1">
      <alignment horizontal="right"/>
    </xf>
    <xf numFmtId="0" fontId="11" fillId="12" borderId="4" xfId="0" quotePrefix="1" applyFont="1" applyFill="1" applyBorder="1" applyAlignment="1" applyProtection="1">
      <alignment horizontal="left" vertical="center"/>
      <protection locked="0"/>
    </xf>
    <xf numFmtId="0" fontId="11" fillId="12" borderId="4" xfId="0" applyFont="1" applyFill="1" applyBorder="1" applyAlignment="1" applyProtection="1">
      <alignment horizontal="left" vertical="center"/>
      <protection locked="0"/>
    </xf>
    <xf numFmtId="0" fontId="1" fillId="12" borderId="10" xfId="0" applyFont="1" applyFill="1" applyBorder="1" applyAlignment="1" applyProtection="1">
      <alignment horizontal="left"/>
      <protection locked="0"/>
    </xf>
    <xf numFmtId="0" fontId="1" fillId="12" borderId="11" xfId="0" applyFont="1" applyFill="1" applyBorder="1" applyAlignment="1" applyProtection="1">
      <alignment horizontal="left"/>
      <protection locked="0"/>
    </xf>
    <xf numFmtId="0" fontId="1" fillId="12" borderId="12" xfId="0" applyFont="1" applyFill="1" applyBorder="1" applyAlignment="1" applyProtection="1">
      <alignment horizontal="left"/>
      <protection locked="0"/>
    </xf>
    <xf numFmtId="0" fontId="5" fillId="2" borderId="0" xfId="0" applyFont="1" applyFill="1" applyAlignment="1">
      <alignment horizontal="center" vertical="center"/>
    </xf>
    <xf numFmtId="0" fontId="13" fillId="2" borderId="4" xfId="0" applyFont="1" applyFill="1" applyBorder="1" applyAlignment="1">
      <alignment horizontal="center" vertical="center"/>
    </xf>
    <xf numFmtId="0" fontId="9" fillId="9" borderId="10" xfId="0" applyFont="1" applyFill="1" applyBorder="1" applyAlignment="1" applyProtection="1">
      <alignment horizontal="left" vertical="center"/>
      <protection locked="0"/>
    </xf>
    <xf numFmtId="0" fontId="9" fillId="9" borderId="11" xfId="0" applyFont="1" applyFill="1" applyBorder="1" applyAlignment="1" applyProtection="1">
      <alignment horizontal="left" vertical="center"/>
      <protection locked="0"/>
    </xf>
    <xf numFmtId="0" fontId="9" fillId="9" borderId="12" xfId="0" applyFont="1" applyFill="1" applyBorder="1" applyAlignment="1" applyProtection="1">
      <alignment horizontal="left" vertical="center"/>
      <protection locked="0"/>
    </xf>
    <xf numFmtId="0" fontId="10" fillId="2" borderId="13" xfId="0" applyFont="1" applyFill="1" applyBorder="1" applyAlignment="1">
      <alignment horizontal="center" vertical="center"/>
    </xf>
    <xf numFmtId="0" fontId="10" fillId="2" borderId="0" xfId="0" applyFont="1" applyFill="1" applyAlignment="1">
      <alignment horizontal="center" vertical="center"/>
    </xf>
    <xf numFmtId="0" fontId="11" fillId="11" borderId="10" xfId="0" applyFont="1" applyFill="1" applyBorder="1" applyAlignment="1">
      <alignment horizontal="left"/>
    </xf>
    <xf numFmtId="0" fontId="11" fillId="11" borderId="11" xfId="0" applyFont="1" applyFill="1" applyBorder="1" applyAlignment="1">
      <alignment horizontal="left"/>
    </xf>
    <xf numFmtId="0" fontId="11" fillId="11" borderId="12" xfId="0" applyFont="1" applyFill="1" applyBorder="1" applyAlignment="1">
      <alignment horizontal="left"/>
    </xf>
    <xf numFmtId="0" fontId="15" fillId="2" borderId="4" xfId="0" applyFont="1" applyFill="1" applyBorder="1" applyAlignment="1">
      <alignment horizontal="center" vertical="center"/>
    </xf>
  </cellXfs>
  <cellStyles count="5">
    <cellStyle name="Normal" xfId="0" builtinId="0"/>
    <cellStyle name="Normal 10 2 2 2 2" xfId="2" xr:uid="{F20D5687-6C45-4842-9376-32E8B6D726C3}"/>
    <cellStyle name="Normal 2 2 10 4" xfId="4" xr:uid="{256C9901-C16C-425A-B860-5EA83ABB6FD9}"/>
    <cellStyle name="Normal_Enterprise Logging Update 100513" xfId="3" xr:uid="{5D08B111-044A-4FB9-893E-2ACDF612F273}"/>
    <cellStyle name="TableStyleLight1" xfId="1" xr:uid="{5AA384CB-80D1-4BD5-B743-9AE1546F1D4C}"/>
  </cellStyles>
  <dxfs count="53">
    <dxf>
      <fill>
        <patternFill>
          <bgColor rgb="FF33CC33"/>
        </patternFill>
      </fill>
    </dxf>
    <dxf>
      <fill>
        <patternFill>
          <bgColor rgb="FFFFFF00"/>
        </patternFill>
      </fill>
    </dxf>
    <dxf>
      <font>
        <b/>
        <i val="0"/>
      </font>
      <fill>
        <patternFill>
          <bgColor theme="2" tint="-0.24994659260841701"/>
        </patternFill>
      </fill>
    </dxf>
    <dxf>
      <font>
        <b/>
        <i val="0"/>
      </font>
      <fill>
        <patternFill>
          <bgColor rgb="FFFF0000"/>
        </patternFill>
      </fill>
    </dxf>
    <dxf>
      <fill>
        <patternFill>
          <bgColor rgb="FFFF6600"/>
        </patternFill>
      </fill>
    </dxf>
    <dxf>
      <fill>
        <patternFill>
          <bgColor rgb="FFFF9933"/>
        </patternFill>
      </fill>
    </dxf>
    <dxf>
      <fill>
        <patternFill>
          <bgColor rgb="FF33CC33"/>
        </patternFill>
      </fill>
    </dxf>
    <dxf>
      <fill>
        <patternFill>
          <bgColor rgb="FF33CC33"/>
        </patternFill>
      </fill>
    </dxf>
    <dxf>
      <fill>
        <patternFill>
          <bgColor rgb="FFFFC000"/>
        </patternFill>
      </fill>
    </dxf>
    <dxf>
      <fill>
        <patternFill>
          <bgColor theme="3" tint="0.59996337778862885"/>
        </patternFill>
      </fill>
    </dxf>
    <dxf>
      <fill>
        <patternFill>
          <bgColor theme="3" tint="0.59996337778862885"/>
        </patternFill>
      </fill>
    </dxf>
    <dxf>
      <fill>
        <patternFill>
          <bgColor rgb="FF33CC33"/>
        </patternFill>
      </fill>
    </dxf>
    <dxf>
      <fill>
        <patternFill>
          <bgColor rgb="FF33CC33"/>
        </patternFill>
      </fill>
    </dxf>
    <dxf>
      <fill>
        <patternFill>
          <bgColor rgb="FF00CC00"/>
        </patternFill>
      </fill>
    </dxf>
    <dxf>
      <fill>
        <patternFill>
          <bgColor rgb="FF33CC33"/>
        </patternFill>
      </fill>
    </dxf>
    <dxf>
      <fill>
        <patternFill>
          <bgColor rgb="FF33CC33"/>
        </patternFill>
      </fill>
    </dxf>
    <dxf>
      <fill>
        <patternFill>
          <bgColor rgb="FF33CC33"/>
        </patternFill>
      </fill>
    </dxf>
    <dxf>
      <fill>
        <patternFill>
          <bgColor theme="3" tint="0.59996337778862885"/>
        </patternFill>
      </fill>
    </dxf>
    <dxf>
      <fill>
        <patternFill>
          <bgColor rgb="FF33CC33"/>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FF0000"/>
        </patternFill>
      </fill>
    </dxf>
    <dxf>
      <fill>
        <patternFill>
          <bgColor rgb="FFFF0000"/>
        </patternFill>
      </fill>
    </dxf>
    <dxf>
      <fill>
        <patternFill>
          <bgColor rgb="FF00FF00"/>
        </patternFill>
      </fill>
    </dxf>
    <dxf>
      <fill>
        <patternFill>
          <bgColor rgb="FFFFFF00"/>
        </patternFill>
      </fill>
    </dxf>
    <dxf>
      <fill>
        <patternFill>
          <bgColor theme="9"/>
        </patternFill>
      </fill>
    </dxf>
    <dxf>
      <fill>
        <patternFill>
          <bgColor rgb="FFFFC000"/>
        </patternFill>
      </fill>
    </dxf>
    <dxf>
      <fill>
        <patternFill>
          <bgColor rgb="FFFF0000"/>
        </patternFill>
      </fill>
    </dxf>
    <dxf>
      <fill>
        <patternFill>
          <bgColor rgb="FF33CC33"/>
        </patternFill>
      </fill>
    </dxf>
    <dxf>
      <fill>
        <patternFill>
          <bgColor rgb="FF33CC33"/>
        </patternFill>
      </fill>
    </dxf>
    <dxf>
      <fill>
        <patternFill>
          <bgColor theme="0"/>
        </patternFill>
      </fill>
    </dxf>
    <dxf>
      <fill>
        <patternFill>
          <bgColor rgb="FFFFC000"/>
        </patternFill>
      </fill>
    </dxf>
    <dxf>
      <fill>
        <patternFill>
          <bgColor theme="0"/>
        </patternFill>
      </fill>
    </dxf>
    <dxf>
      <fill>
        <patternFill>
          <bgColor rgb="FFFFC000"/>
        </patternFill>
      </fill>
    </dxf>
    <dxf>
      <fill>
        <patternFill>
          <bgColor rgb="FF33CC33"/>
        </patternFill>
      </fill>
    </dxf>
    <dxf>
      <fill>
        <patternFill>
          <bgColor rgb="FFFFC000"/>
        </patternFill>
      </fill>
    </dxf>
    <dxf>
      <fill>
        <patternFill>
          <bgColor rgb="FF00CC00"/>
        </patternFill>
      </fill>
    </dxf>
    <dxf>
      <fill>
        <patternFill>
          <bgColor theme="3" tint="0.59996337778862885"/>
        </patternFill>
      </fill>
    </dxf>
    <dxf>
      <fill>
        <patternFill>
          <bgColor rgb="FFFFC000"/>
        </patternFill>
      </fill>
    </dxf>
    <dxf>
      <fill>
        <patternFill>
          <bgColor rgb="FF33CC33"/>
        </patternFill>
      </fill>
    </dxf>
    <dxf>
      <fill>
        <patternFill>
          <bgColor rgb="FFFFC000"/>
        </patternFill>
      </fill>
    </dxf>
    <dxf>
      <fill>
        <patternFill>
          <bgColor rgb="FF33CC33"/>
        </patternFill>
      </fill>
    </dxf>
    <dxf>
      <fill>
        <patternFill>
          <bgColor rgb="FF33CC33"/>
        </patternFill>
      </fill>
    </dxf>
    <dxf>
      <fill>
        <patternFill>
          <bgColor rgb="FF33CC33"/>
        </patternFill>
      </fill>
    </dxf>
    <dxf>
      <font>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'Cover Sheet'!$BI$3</c:f>
          <c:strCache>
            <c:ptCount val="1"/>
            <c:pt idx="0">
              <c:v>Dip = -90</c:v>
            </c:pt>
          </c:strCache>
        </c:strRef>
      </c:tx>
      <c:layout>
        <c:manualLayout>
          <c:xMode val="edge"/>
          <c:yMode val="edge"/>
          <c:x val="0.14686847410706225"/>
          <c:y val="9.1584336914978005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2773109243697485E-2"/>
          <c:y val="4.6465283734449941E-2"/>
          <c:w val="0.78890756302521003"/>
          <c:h val="0.85262935011116303"/>
        </c:manualLayout>
      </c:layout>
      <c:scatterChart>
        <c:scatterStyle val="lineMarker"/>
        <c:varyColors val="0"/>
        <c:ser>
          <c:idx val="0"/>
          <c:order val="0"/>
          <c:spPr>
            <a:ln w="28575" cap="rnd">
              <a:solidFill>
                <a:srgbClr val="FF0000"/>
              </a:solidFill>
              <a:round/>
            </a:ln>
            <a:effectLst/>
          </c:spPr>
          <c:marker>
            <c:symbol val="circle"/>
            <c:size val="5"/>
            <c:spPr>
              <a:solidFill>
                <a:srgbClr val="C00000"/>
              </a:solidFill>
              <a:ln w="9525">
                <a:solidFill>
                  <a:schemeClr val="accent1"/>
                </a:solidFill>
              </a:ln>
              <a:effectLst/>
            </c:spPr>
          </c:marker>
          <c:xVal>
            <c:numRef>
              <c:f>'Cover Sheet'!$BI$4:$BI$5</c:f>
              <c:numCache>
                <c:formatCode>0.0000</c:formatCode>
                <c:ptCount val="2"/>
                <c:pt idx="0" formatCode="General">
                  <c:v>0</c:v>
                </c:pt>
                <c:pt idx="1">
                  <c:v>6.1257422745431001E-16</c:v>
                </c:pt>
              </c:numCache>
            </c:numRef>
          </c:xVal>
          <c:yVal>
            <c:numRef>
              <c:f>'Cover Sheet'!$BJ$4:$BJ$5</c:f>
              <c:numCache>
                <c:formatCode>0.0000</c:formatCode>
                <c:ptCount val="2"/>
                <c:pt idx="0" formatCode="General">
                  <c:v>0</c:v>
                </c:pt>
                <c:pt idx="1">
                  <c:v>-10</c:v>
                </c:pt>
              </c:numCache>
            </c:numRef>
          </c:yVal>
          <c:smooth val="0"/>
          <c:extLst>
            <c:ext xmlns:c16="http://schemas.microsoft.com/office/drawing/2014/chart" uri="{C3380CC4-5D6E-409C-BE32-E72D297353CC}">
              <c16:uniqueId val="{00000000-15C8-4C66-B005-7CA2B50207B0}"/>
            </c:ext>
          </c:extLst>
        </c:ser>
        <c:ser>
          <c:idx val="1"/>
          <c:order val="1"/>
          <c:spPr>
            <a:ln w="19050" cap="rnd">
              <a:solidFill>
                <a:schemeClr val="bg2">
                  <a:lumMod val="50000"/>
                </a:schemeClr>
              </a:solidFill>
              <a:round/>
            </a:ln>
            <a:effectLst/>
          </c:spPr>
          <c:marker>
            <c:symbol val="none"/>
          </c:marker>
          <c:xVal>
            <c:numRef>
              <c:f>'Cover Sheet'!$BI$6:$BI$10</c:f>
              <c:numCache>
                <c:formatCode>0.00</c:formatCode>
                <c:ptCount val="5"/>
                <c:pt idx="0">
                  <c:v>3.06287113727155E-16</c:v>
                </c:pt>
                <c:pt idx="1">
                  <c:v>1.9120562136830013</c:v>
                </c:pt>
                <c:pt idx="2">
                  <c:v>3.5355339059327378</c:v>
                </c:pt>
                <c:pt idx="3">
                  <c:v>4.6193976625564339</c:v>
                </c:pt>
                <c:pt idx="4">
                  <c:v>5</c:v>
                </c:pt>
              </c:numCache>
            </c:numRef>
          </c:xVal>
          <c:yVal>
            <c:numRef>
              <c:f>'Cover Sheet'!$BJ$6:$BJ$10</c:f>
              <c:numCache>
                <c:formatCode>0.00</c:formatCode>
                <c:ptCount val="5"/>
                <c:pt idx="0">
                  <c:v>-5</c:v>
                </c:pt>
                <c:pt idx="1">
                  <c:v>-4.6199611508882006</c:v>
                </c:pt>
                <c:pt idx="2">
                  <c:v>-3.5355339059327373</c:v>
                </c:pt>
                <c:pt idx="3">
                  <c:v>-1.913417161825449</c:v>
                </c:pt>
                <c:pt idx="4">
                  <c:v>0</c:v>
                </c:pt>
              </c:numCache>
            </c:numRef>
          </c:yVal>
          <c:smooth val="0"/>
          <c:extLst>
            <c:ext xmlns:c16="http://schemas.microsoft.com/office/drawing/2014/chart" uri="{C3380CC4-5D6E-409C-BE32-E72D297353CC}">
              <c16:uniqueId val="{00000001-15C8-4C66-B005-7CA2B50207B0}"/>
            </c:ext>
          </c:extLst>
        </c:ser>
        <c:dLbls>
          <c:showLegendKey val="0"/>
          <c:showVal val="0"/>
          <c:showCatName val="0"/>
          <c:showSerName val="0"/>
          <c:showPercent val="0"/>
          <c:showBubbleSize val="0"/>
        </c:dLbls>
        <c:axId val="588852064"/>
        <c:axId val="589177344"/>
      </c:scatterChart>
      <c:valAx>
        <c:axId val="588852064"/>
        <c:scaling>
          <c:orientation val="minMax"/>
          <c:max val="10"/>
          <c:min val="0"/>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589177344"/>
        <c:crosses val="autoZero"/>
        <c:crossBetween val="midCat"/>
      </c:valAx>
      <c:valAx>
        <c:axId val="589177344"/>
        <c:scaling>
          <c:orientation val="minMax"/>
          <c:max val="10"/>
          <c:min val="-10"/>
        </c:scaling>
        <c:delete val="1"/>
        <c:axPos val="l"/>
        <c:numFmt formatCode="General" sourceLinked="1"/>
        <c:majorTickMark val="none"/>
        <c:minorTickMark val="none"/>
        <c:tickLblPos val="nextTo"/>
        <c:crossAx val="588852064"/>
        <c:crosses val="autoZero"/>
        <c:crossBetween val="midCat"/>
        <c:minorUnit val="5"/>
      </c:valAx>
      <c:spPr>
        <a:noFill/>
        <a:ln>
          <a:noFill/>
        </a:ln>
        <a:effectLst/>
      </c:spPr>
    </c:plotArea>
    <c:plotVisOnly val="1"/>
    <c:dispBlanksAs val="gap"/>
    <c:showDLblsOverMax val="0"/>
  </c:chart>
  <c:spPr>
    <a:solidFill>
      <a:srgbClr val="99CCFF"/>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'Cover Sheet'!$BJ$11</c:f>
          <c:strCache>
            <c:ptCount val="1"/>
            <c:pt idx="0">
              <c:v>Azimuth = 0</c:v>
            </c:pt>
          </c:strCache>
        </c:strRef>
      </c:tx>
      <c:layout>
        <c:manualLayout>
          <c:xMode val="edge"/>
          <c:yMode val="edge"/>
          <c:x val="0.14462352551335875"/>
          <c:y val="8.8305193875096132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C00000"/>
              </a:solidFill>
              <a:round/>
            </a:ln>
            <a:effectLst/>
          </c:spPr>
          <c:marker>
            <c:symbol val="none"/>
          </c:marker>
          <c:xVal>
            <c:numRef>
              <c:f>'Cover Sheet'!$BI$12:$BI$13</c:f>
              <c:numCache>
                <c:formatCode>General</c:formatCode>
                <c:ptCount val="2"/>
                <c:pt idx="0">
                  <c:v>0</c:v>
                </c:pt>
                <c:pt idx="1">
                  <c:v>0</c:v>
                </c:pt>
              </c:numCache>
            </c:numRef>
          </c:xVal>
          <c:yVal>
            <c:numRef>
              <c:f>'Cover Sheet'!$BJ$12:$BJ$13</c:f>
              <c:numCache>
                <c:formatCode>General</c:formatCode>
                <c:ptCount val="2"/>
                <c:pt idx="0">
                  <c:v>0</c:v>
                </c:pt>
                <c:pt idx="1">
                  <c:v>9</c:v>
                </c:pt>
              </c:numCache>
            </c:numRef>
          </c:yVal>
          <c:smooth val="0"/>
          <c:extLst>
            <c:ext xmlns:c16="http://schemas.microsoft.com/office/drawing/2014/chart" uri="{C3380CC4-5D6E-409C-BE32-E72D297353CC}">
              <c16:uniqueId val="{00000000-16B9-47B8-AAD6-A091D4D289EC}"/>
            </c:ext>
          </c:extLst>
        </c:ser>
        <c:ser>
          <c:idx val="1"/>
          <c:order val="1"/>
          <c:spPr>
            <a:ln w="25400" cap="rnd">
              <a:solidFill>
                <a:srgbClr val="C00000"/>
              </a:solidFill>
              <a:round/>
            </a:ln>
            <a:effectLst/>
          </c:spPr>
          <c:marker>
            <c:symbol val="none"/>
          </c:marker>
          <c:xVal>
            <c:numRef>
              <c:f>'Cover Sheet'!$BI$15:$BI$16</c:f>
              <c:numCache>
                <c:formatCode>General</c:formatCode>
                <c:ptCount val="2"/>
                <c:pt idx="0">
                  <c:v>0</c:v>
                </c:pt>
                <c:pt idx="1">
                  <c:v>-1.0000000000000002</c:v>
                </c:pt>
              </c:numCache>
            </c:numRef>
          </c:xVal>
          <c:yVal>
            <c:numRef>
              <c:f>'Cover Sheet'!$BJ$15:$BJ$16</c:f>
              <c:numCache>
                <c:formatCode>General</c:formatCode>
                <c:ptCount val="2"/>
                <c:pt idx="0">
                  <c:v>9</c:v>
                </c:pt>
                <c:pt idx="1">
                  <c:v>7.2679491924311233</c:v>
                </c:pt>
              </c:numCache>
            </c:numRef>
          </c:yVal>
          <c:smooth val="0"/>
          <c:extLst>
            <c:ext xmlns:c16="http://schemas.microsoft.com/office/drawing/2014/chart" uri="{C3380CC4-5D6E-409C-BE32-E72D297353CC}">
              <c16:uniqueId val="{00000001-16B9-47B8-AAD6-A091D4D289EC}"/>
            </c:ext>
          </c:extLst>
        </c:ser>
        <c:ser>
          <c:idx val="2"/>
          <c:order val="2"/>
          <c:spPr>
            <a:ln w="25400" cap="rnd">
              <a:solidFill>
                <a:srgbClr val="C00000"/>
              </a:solidFill>
              <a:round/>
            </a:ln>
            <a:effectLst/>
          </c:spPr>
          <c:marker>
            <c:symbol val="none"/>
          </c:marker>
          <c:xVal>
            <c:numRef>
              <c:f>'Cover Sheet'!$BI$18:$BI$19</c:f>
              <c:numCache>
                <c:formatCode>General</c:formatCode>
                <c:ptCount val="2"/>
                <c:pt idx="0">
                  <c:v>0</c:v>
                </c:pt>
                <c:pt idx="1">
                  <c:v>0.99999999999999989</c:v>
                </c:pt>
              </c:numCache>
            </c:numRef>
          </c:xVal>
          <c:yVal>
            <c:numRef>
              <c:f>'Cover Sheet'!$BJ$18:$BJ$19</c:f>
              <c:numCache>
                <c:formatCode>General</c:formatCode>
                <c:ptCount val="2"/>
                <c:pt idx="0">
                  <c:v>9</c:v>
                </c:pt>
                <c:pt idx="1">
                  <c:v>7.2679491924311224</c:v>
                </c:pt>
              </c:numCache>
            </c:numRef>
          </c:yVal>
          <c:smooth val="0"/>
          <c:extLst>
            <c:ext xmlns:c16="http://schemas.microsoft.com/office/drawing/2014/chart" uri="{C3380CC4-5D6E-409C-BE32-E72D297353CC}">
              <c16:uniqueId val="{00000002-16B9-47B8-AAD6-A091D4D289EC}"/>
            </c:ext>
          </c:extLst>
        </c:ser>
        <c:dLbls>
          <c:showLegendKey val="0"/>
          <c:showVal val="0"/>
          <c:showCatName val="0"/>
          <c:showSerName val="0"/>
          <c:showPercent val="0"/>
          <c:showBubbleSize val="0"/>
        </c:dLbls>
        <c:axId val="599529144"/>
        <c:axId val="373154280"/>
      </c:scatterChart>
      <c:valAx>
        <c:axId val="599529144"/>
        <c:scaling>
          <c:orientation val="minMax"/>
          <c:max val="10"/>
          <c:min val="-10"/>
        </c:scaling>
        <c:delete val="1"/>
        <c:axPos val="b"/>
        <c:majorGridlines>
          <c:spPr>
            <a:ln w="9525" cap="flat" cmpd="sng" algn="ctr">
              <a:noFill/>
              <a:round/>
            </a:ln>
            <a:effectLst/>
          </c:spPr>
        </c:majorGridlines>
        <c:numFmt formatCode="General" sourceLinked="1"/>
        <c:majorTickMark val="none"/>
        <c:minorTickMark val="none"/>
        <c:tickLblPos val="nextTo"/>
        <c:crossAx val="373154280"/>
        <c:crosses val="autoZero"/>
        <c:crossBetween val="midCat"/>
      </c:valAx>
      <c:valAx>
        <c:axId val="373154280"/>
        <c:scaling>
          <c:orientation val="minMax"/>
          <c:max val="10"/>
          <c:min val="-10"/>
        </c:scaling>
        <c:delete val="1"/>
        <c:axPos val="l"/>
        <c:majorGridlines>
          <c:spPr>
            <a:ln w="9525" cap="flat" cmpd="sng" algn="ctr">
              <a:noFill/>
              <a:round/>
            </a:ln>
            <a:effectLst/>
          </c:spPr>
        </c:majorGridlines>
        <c:numFmt formatCode="General" sourceLinked="1"/>
        <c:majorTickMark val="none"/>
        <c:minorTickMark val="none"/>
        <c:tickLblPos val="nextTo"/>
        <c:crossAx val="599529144"/>
        <c:crosses val="autoZero"/>
        <c:crossBetween val="midCat"/>
        <c:majorUnit val="5"/>
      </c:valAx>
      <c:spPr>
        <a:noFill/>
        <a:ln>
          <a:noFill/>
        </a:ln>
        <a:effectLst/>
      </c:spPr>
    </c:plotArea>
    <c:plotVisOnly val="1"/>
    <c:dispBlanksAs val="gap"/>
    <c:showDLblsOverMax val="0"/>
  </c:chart>
  <c:spPr>
    <a:solidFill>
      <a:srgbClr val="99CCFF"/>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381885</xdr:colOff>
      <xdr:row>19</xdr:row>
      <xdr:rowOff>134470</xdr:rowOff>
    </xdr:from>
    <xdr:to>
      <xdr:col>15</xdr:col>
      <xdr:colOff>540082</xdr:colOff>
      <xdr:row>28</xdr:row>
      <xdr:rowOff>108857</xdr:rowOff>
    </xdr:to>
    <xdr:graphicFrame macro="">
      <xdr:nvGraphicFramePr>
        <xdr:cNvPr id="11" name="Chart 10">
          <a:extLst>
            <a:ext uri="{FF2B5EF4-FFF2-40B4-BE49-F238E27FC236}">
              <a16:creationId xmlns:a16="http://schemas.microsoft.com/office/drawing/2014/main" id="{75EF7D22-966D-4CFB-A058-5C4A24517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281928</xdr:colOff>
      <xdr:row>19</xdr:row>
      <xdr:rowOff>137213</xdr:rowOff>
    </xdr:from>
    <xdr:to>
      <xdr:col>13</xdr:col>
      <xdr:colOff>281269</xdr:colOff>
      <xdr:row>28</xdr:row>
      <xdr:rowOff>108557</xdr:rowOff>
    </xdr:to>
    <xdr:graphicFrame macro="">
      <xdr:nvGraphicFramePr>
        <xdr:cNvPr id="12" name="Chart 11">
          <a:extLst>
            <a:ext uri="{FF2B5EF4-FFF2-40B4-BE49-F238E27FC236}">
              <a16:creationId xmlns:a16="http://schemas.microsoft.com/office/drawing/2014/main" id="{0CBD42B2-76F1-4053-BBC2-54C229736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296310</xdr:colOff>
      <xdr:row>25</xdr:row>
      <xdr:rowOff>20451</xdr:rowOff>
    </xdr:from>
    <xdr:to>
      <xdr:col>13</xdr:col>
      <xdr:colOff>229635</xdr:colOff>
      <xdr:row>25</xdr:row>
      <xdr:rowOff>20451</xdr:rowOff>
    </xdr:to>
    <xdr:cxnSp macro="">
      <xdr:nvCxnSpPr>
        <xdr:cNvPr id="13" name="Straight Arrow Connector 12">
          <a:extLst>
            <a:ext uri="{FF2B5EF4-FFF2-40B4-BE49-F238E27FC236}">
              <a16:creationId xmlns:a16="http://schemas.microsoft.com/office/drawing/2014/main" id="{AA0C1EC1-6E69-48DB-B495-D1684C1E6AF8}"/>
            </a:ext>
          </a:extLst>
        </xdr:cNvPr>
        <xdr:cNvCxnSpPr/>
      </xdr:nvCxnSpPr>
      <xdr:spPr>
        <a:xfrm>
          <a:off x="6309760" y="4027301"/>
          <a:ext cx="612775"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390160</xdr:colOff>
      <xdr:row>25</xdr:row>
      <xdr:rowOff>18069</xdr:rowOff>
    </xdr:from>
    <xdr:to>
      <xdr:col>11</xdr:col>
      <xdr:colOff>291549</xdr:colOff>
      <xdr:row>25</xdr:row>
      <xdr:rowOff>18069</xdr:rowOff>
    </xdr:to>
    <xdr:cxnSp macro="">
      <xdr:nvCxnSpPr>
        <xdr:cNvPr id="14" name="Straight Arrow Connector 13">
          <a:extLst>
            <a:ext uri="{FF2B5EF4-FFF2-40B4-BE49-F238E27FC236}">
              <a16:creationId xmlns:a16="http://schemas.microsoft.com/office/drawing/2014/main" id="{8C10115E-B3D7-40B2-ACE9-5DE0A52B34B2}"/>
            </a:ext>
          </a:extLst>
        </xdr:cNvPr>
        <xdr:cNvCxnSpPr/>
      </xdr:nvCxnSpPr>
      <xdr:spPr>
        <a:xfrm flipH="1">
          <a:off x="5755910" y="4024919"/>
          <a:ext cx="549089"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291548</xdr:colOff>
      <xdr:row>25</xdr:row>
      <xdr:rowOff>10927</xdr:rowOff>
    </xdr:from>
    <xdr:to>
      <xdr:col>11</xdr:col>
      <xdr:colOff>291548</xdr:colOff>
      <xdr:row>28</xdr:row>
      <xdr:rowOff>20452</xdr:rowOff>
    </xdr:to>
    <xdr:cxnSp macro="">
      <xdr:nvCxnSpPr>
        <xdr:cNvPr id="15" name="Straight Arrow Connector 14">
          <a:extLst>
            <a:ext uri="{FF2B5EF4-FFF2-40B4-BE49-F238E27FC236}">
              <a16:creationId xmlns:a16="http://schemas.microsoft.com/office/drawing/2014/main" id="{167162DE-03EC-462D-8263-608C48D2584A}"/>
            </a:ext>
          </a:extLst>
        </xdr:cNvPr>
        <xdr:cNvCxnSpPr/>
      </xdr:nvCxnSpPr>
      <xdr:spPr>
        <a:xfrm rot="5400000">
          <a:off x="6058935" y="4263840"/>
          <a:ext cx="492125"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291549</xdr:colOff>
      <xdr:row>21</xdr:row>
      <xdr:rowOff>153521</xdr:rowOff>
    </xdr:from>
    <xdr:to>
      <xdr:col>11</xdr:col>
      <xdr:colOff>291549</xdr:colOff>
      <xdr:row>25</xdr:row>
      <xdr:rowOff>15688</xdr:rowOff>
    </xdr:to>
    <xdr:cxnSp macro="">
      <xdr:nvCxnSpPr>
        <xdr:cNvPr id="16" name="Straight Arrow Connector 15">
          <a:extLst>
            <a:ext uri="{FF2B5EF4-FFF2-40B4-BE49-F238E27FC236}">
              <a16:creationId xmlns:a16="http://schemas.microsoft.com/office/drawing/2014/main" id="{BA7A1FAE-56E7-44FC-B766-ACEFD819CFE1}"/>
            </a:ext>
          </a:extLst>
        </xdr:cNvPr>
        <xdr:cNvCxnSpPr/>
      </xdr:nvCxnSpPr>
      <xdr:spPr>
        <a:xfrm rot="16200000">
          <a:off x="6056415" y="3773955"/>
          <a:ext cx="497167"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59</xdr:col>
      <xdr:colOff>1601801</xdr:colOff>
      <xdr:row>0</xdr:row>
      <xdr:rowOff>133911</xdr:rowOff>
    </xdr:from>
    <xdr:to>
      <xdr:col>64</xdr:col>
      <xdr:colOff>542043</xdr:colOff>
      <xdr:row>19</xdr:row>
      <xdr:rowOff>17371</xdr:rowOff>
    </xdr:to>
    <xdr:sp macro="" textlink="">
      <xdr:nvSpPr>
        <xdr:cNvPr id="17" name="Rectangle 16">
          <a:extLst>
            <a:ext uri="{FF2B5EF4-FFF2-40B4-BE49-F238E27FC236}">
              <a16:creationId xmlns:a16="http://schemas.microsoft.com/office/drawing/2014/main" id="{C909804A-1336-4A4C-B3EB-BAF5A29CA1BD}"/>
            </a:ext>
          </a:extLst>
        </xdr:cNvPr>
        <xdr:cNvSpPr/>
      </xdr:nvSpPr>
      <xdr:spPr>
        <a:xfrm>
          <a:off x="17076751" y="133911"/>
          <a:ext cx="3162992" cy="2937810"/>
        </a:xfrm>
        <a:prstGeom prst="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AU" sz="1100">
            <a:solidFill>
              <a:schemeClr val="bg1"/>
            </a:solidFill>
          </a:endParaRPr>
        </a:p>
      </xdr:txBody>
    </xdr:sp>
    <xdr:clientData/>
  </xdr:twoCellAnchor>
  <xdr:twoCellAnchor>
    <xdr:from>
      <xdr:col>30</xdr:col>
      <xdr:colOff>123264</xdr:colOff>
      <xdr:row>9</xdr:row>
      <xdr:rowOff>67235</xdr:rowOff>
    </xdr:from>
    <xdr:to>
      <xdr:col>31</xdr:col>
      <xdr:colOff>44824</xdr:colOff>
      <xdr:row>13</xdr:row>
      <xdr:rowOff>89648</xdr:rowOff>
    </xdr:to>
    <xdr:sp macro="" textlink="">
      <xdr:nvSpPr>
        <xdr:cNvPr id="18" name="Rectangle: Beveled 17">
          <a:extLst>
            <a:ext uri="{FF2B5EF4-FFF2-40B4-BE49-F238E27FC236}">
              <a16:creationId xmlns:a16="http://schemas.microsoft.com/office/drawing/2014/main" id="{692C5949-D85F-4AA2-85C4-5094097E7890}"/>
            </a:ext>
          </a:extLst>
        </xdr:cNvPr>
        <xdr:cNvSpPr/>
      </xdr:nvSpPr>
      <xdr:spPr>
        <a:xfrm>
          <a:off x="14458950" y="1521385"/>
          <a:ext cx="0" cy="663763"/>
        </a:xfrm>
        <a:prstGeom prst="bevel">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100"/>
            <a:t>Unlock</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0.59599</cdr:x>
      <cdr:y>0.48621</cdr:y>
    </cdr:from>
    <cdr:to>
      <cdr:x>1</cdr:x>
      <cdr:y>0.66207</cdr:y>
    </cdr:to>
    <cdr:sp macro="" textlink="'Cover Sheet'!$J$12">
      <cdr:nvSpPr>
        <cdr:cNvPr id="2" name="TextBox 1">
          <a:extLst xmlns:a="http://schemas.openxmlformats.org/drawingml/2006/main">
            <a:ext uri="{FF2B5EF4-FFF2-40B4-BE49-F238E27FC236}">
              <a16:creationId xmlns:a16="http://schemas.microsoft.com/office/drawing/2014/main" id="{FCA869E7-5561-46AA-B1C2-4E674B83E2BF}"/>
            </a:ext>
          </a:extLst>
        </cdr:cNvPr>
        <cdr:cNvSpPr txBox="1"/>
      </cdr:nvSpPr>
      <cdr:spPr>
        <a:xfrm xmlns:a="http://schemas.openxmlformats.org/drawingml/2006/main">
          <a:off x="495300" y="671513"/>
          <a:ext cx="335757" cy="2428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F4B5B5F-3279-4CA0-9255-516D656362F1}" type="TxLink">
            <a:rPr lang="en-US" sz="800" b="0" i="0" u="none" strike="noStrike">
              <a:solidFill>
                <a:srgbClr val="000000"/>
              </a:solidFill>
              <a:latin typeface="Arial"/>
              <a:ea typeface="Calibri"/>
              <a:cs typeface="Arial"/>
            </a:rPr>
            <a:pPr/>
            <a:t>-90</a:t>
          </a:fld>
          <a:endParaRPr lang="en-AU" sz="1100"/>
        </a:p>
      </cdr:txBody>
    </cdr:sp>
  </cdr:relSizeAnchor>
  <cdr:relSizeAnchor xmlns:cdr="http://schemas.openxmlformats.org/drawingml/2006/chartDrawing">
    <cdr:from>
      <cdr:x>0.02765</cdr:x>
      <cdr:y>0.46647</cdr:y>
    </cdr:from>
    <cdr:to>
      <cdr:x>0.94931</cdr:x>
      <cdr:y>0.46647</cdr:y>
    </cdr:to>
    <cdr:cxnSp macro="">
      <cdr:nvCxnSpPr>
        <cdr:cNvPr id="4" name="Straight Connector 3">
          <a:extLst xmlns:a="http://schemas.openxmlformats.org/drawingml/2006/main">
            <a:ext uri="{FF2B5EF4-FFF2-40B4-BE49-F238E27FC236}">
              <a16:creationId xmlns:a16="http://schemas.microsoft.com/office/drawing/2014/main" id="{86D93637-9452-4584-9CFD-84CABE6B9FD1}"/>
            </a:ext>
          </a:extLst>
        </cdr:cNvPr>
        <cdr:cNvCxnSpPr/>
      </cdr:nvCxnSpPr>
      <cdr:spPr>
        <a:xfrm xmlns:a="http://schemas.openxmlformats.org/drawingml/2006/main">
          <a:off x="31341" y="647700"/>
          <a:ext cx="1044677" cy="0"/>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0.186</cdr:x>
      <cdr:y>0.46475</cdr:y>
    </cdr:from>
    <cdr:to>
      <cdr:x>0.23751</cdr:x>
      <cdr:y>0.50901</cdr:y>
    </cdr:to>
    <cdr:cxnSp macro="">
      <cdr:nvCxnSpPr>
        <cdr:cNvPr id="8" name="Straight Connector 7">
          <a:extLst xmlns:a="http://schemas.openxmlformats.org/drawingml/2006/main">
            <a:ext uri="{FF2B5EF4-FFF2-40B4-BE49-F238E27FC236}">
              <a16:creationId xmlns:a16="http://schemas.microsoft.com/office/drawing/2014/main" id="{33DC2A55-DC28-45A3-BA11-87F9024385C1}"/>
            </a:ext>
          </a:extLst>
        </cdr:cNvPr>
        <cdr:cNvCxnSpPr/>
      </cdr:nvCxnSpPr>
      <cdr:spPr>
        <a:xfrm xmlns:a="http://schemas.openxmlformats.org/drawingml/2006/main">
          <a:off x="154579" y="641880"/>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0.4314</cdr:x>
      <cdr:y>0.46195</cdr:y>
    </cdr:from>
    <cdr:to>
      <cdr:x>0.4829</cdr:x>
      <cdr:y>0.5062</cdr:y>
    </cdr:to>
    <cdr:cxnSp macro="">
      <cdr:nvCxnSpPr>
        <cdr:cNvPr id="9" name="Straight Connector 8">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358517" y="638007"/>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0.55028</cdr:x>
      <cdr:y>0.46146</cdr:y>
    </cdr:from>
    <cdr:to>
      <cdr:x>0.60178</cdr:x>
      <cdr:y>0.50572</cdr:y>
    </cdr:to>
    <cdr:cxnSp macro="">
      <cdr:nvCxnSpPr>
        <cdr:cNvPr id="10" name="Straight Connector 9">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457314" y="637333"/>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0.67443</cdr:x>
      <cdr:y>0.46367</cdr:y>
    </cdr:from>
    <cdr:to>
      <cdr:x>0.72593</cdr:x>
      <cdr:y>0.50793</cdr:y>
    </cdr:to>
    <cdr:cxnSp macro="">
      <cdr:nvCxnSpPr>
        <cdr:cNvPr id="11" name="Straight Connector 10">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560488" y="640389"/>
          <a:ext cx="42804"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0.79633</cdr:x>
      <cdr:y>0.46318</cdr:y>
    </cdr:from>
    <cdr:to>
      <cdr:x>0.84783</cdr:x>
      <cdr:y>0.50744</cdr:y>
    </cdr:to>
    <cdr:cxnSp macro="">
      <cdr:nvCxnSpPr>
        <cdr:cNvPr id="12" name="Straight Connector 11">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661795" y="639714"/>
          <a:ext cx="42804"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0.0602</cdr:x>
      <cdr:y>0.46318</cdr:y>
    </cdr:from>
    <cdr:to>
      <cdr:x>0.11171</cdr:x>
      <cdr:y>0.50744</cdr:y>
    </cdr:to>
    <cdr:cxnSp macro="">
      <cdr:nvCxnSpPr>
        <cdr:cNvPr id="13" name="Straight Connector 12">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50031" y="639713"/>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0.2977</cdr:x>
      <cdr:y>0.46367</cdr:y>
    </cdr:from>
    <cdr:to>
      <cdr:x>0.34921</cdr:x>
      <cdr:y>0.50793</cdr:y>
    </cdr:to>
    <cdr:cxnSp macro="">
      <cdr:nvCxnSpPr>
        <cdr:cNvPr id="14" name="Straight Connector 13">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247409" y="640389"/>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0.37171</cdr:x>
      <cdr:y>0.07279</cdr:y>
    </cdr:from>
    <cdr:to>
      <cdr:x>0.7093</cdr:x>
      <cdr:y>0.29466</cdr:y>
    </cdr:to>
    <cdr:sp macro="" textlink="">
      <cdr:nvSpPr>
        <cdr:cNvPr id="2" name="TextBox 1">
          <a:extLst xmlns:a="http://schemas.openxmlformats.org/drawingml/2006/main">
            <a:ext uri="{FF2B5EF4-FFF2-40B4-BE49-F238E27FC236}">
              <a16:creationId xmlns:a16="http://schemas.microsoft.com/office/drawing/2014/main" id="{047C795E-0B7D-4158-B149-57E3907D798F}"/>
            </a:ext>
          </a:extLst>
        </cdr:cNvPr>
        <cdr:cNvSpPr txBox="1"/>
      </cdr:nvSpPr>
      <cdr:spPr>
        <a:xfrm xmlns:a="http://schemas.openxmlformats.org/drawingml/2006/main">
          <a:off x="469680" y="103804"/>
          <a:ext cx="426568" cy="3164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600" b="1"/>
            <a:t>N</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Century\Data\FieldTrack_3.07yDev3_2107_260321.xlsm" TargetMode="External"/><Relationship Id="rId1" Type="http://schemas.openxmlformats.org/officeDocument/2006/relationships/externalLinkPath" Target="FieldTrack_3.07yDev3_2107_26032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ily"/>
      <sheetName val="Cover Sheet"/>
      <sheetName val="Blank_Form"/>
      <sheetName val="base"/>
      <sheetName val="RC26VIV0006"/>
      <sheetName val="RC26VIV0005"/>
      <sheetName val="RC26VIV0004"/>
      <sheetName val="RC26VIV0003"/>
      <sheetName val="RC26VIV0002"/>
      <sheetName val="RC26VIV0001"/>
      <sheetName val="GR26WR0008"/>
      <sheetName val="GD26WR0005"/>
      <sheetName val="GR26WR0007"/>
      <sheetName val="GR26WR0006"/>
      <sheetName val="GD26MN0004"/>
      <sheetName val="DD26WR0008"/>
      <sheetName val="SCB002"/>
      <sheetName val="SCB0002"/>
      <sheetName val="DD23WRMB0054"/>
      <sheetName val="DD23WRMB0052"/>
      <sheetName val="DD23WRMB0051"/>
      <sheetName val="DD23WRMB0053"/>
      <sheetName val="DD21WRMB0022"/>
      <sheetName val="DD23WRMB0056"/>
      <sheetName val="DD23WRMB0047"/>
      <sheetName val="DD23WRMB0045"/>
      <sheetName val="DD23WRMB0046"/>
      <sheetName val="DD23WRMB0043"/>
      <sheetName val="DD23WRMB0042"/>
      <sheetName val="DD23WRMB0050"/>
      <sheetName val="DD23WRMB0049"/>
      <sheetName val="DD23WRMB0039"/>
      <sheetName val="DD23WRMB0037"/>
      <sheetName val="DD23WRMB0035"/>
      <sheetName val="DD23WRMB0040"/>
      <sheetName val="DD23WRMB0036"/>
      <sheetName val="DD23WRMB0038"/>
      <sheetName val="DD23WRMB0033"/>
      <sheetName val="SC002"/>
      <sheetName val="KCGM001"/>
      <sheetName val="All Details"/>
      <sheetName val="DataForMonthly"/>
      <sheetName val="Data for Monthly Spreadsheet"/>
      <sheetName val="BaseMonthly"/>
      <sheetName val="working"/>
      <sheetName val="names"/>
      <sheetName val="names_1"/>
      <sheetName val="Help"/>
      <sheetName val="VC"/>
      <sheetName val="quotes"/>
      <sheetName val="RC26VIV0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0">
          <cell r="A10" t="str">
            <v>RTIO</v>
          </cell>
        </row>
        <row r="11">
          <cell r="A11" t="str">
            <v>FMG</v>
          </cell>
        </row>
        <row r="12">
          <cell r="A12" t="str">
            <v>STANDARD</v>
          </cell>
        </row>
      </sheetData>
      <sheetData sheetId="46">
        <row r="11">
          <cell r="B11" t="str">
            <v>DOWNTIME</v>
          </cell>
        </row>
        <row r="12">
          <cell r="B12" t="str">
            <v>NON CHARGEABLE DOWNTIME</v>
          </cell>
        </row>
        <row r="13">
          <cell r="B13" t="str">
            <v>STANDBY</v>
          </cell>
        </row>
        <row r="14">
          <cell r="B14" t="str">
            <v>TRAVEL</v>
          </cell>
        </row>
        <row r="15">
          <cell r="B15" t="str">
            <v>PRODUCTION</v>
          </cell>
        </row>
        <row r="16">
          <cell r="B16" t="str">
            <v>CALIBRATION</v>
          </cell>
        </row>
      </sheetData>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B9C9-AEE0-46D8-BAEF-CE394E798E0D}">
  <sheetPr codeName="Sheet1">
    <pageSetUpPr fitToPage="1"/>
  </sheetPr>
  <dimension ref="A1:AML1006"/>
  <sheetViews>
    <sheetView tabSelected="1" topLeftCell="B1" zoomScaleNormal="100" zoomScaleSheetLayoutView="100" zoomScalePageLayoutView="87" workbookViewId="0">
      <selection activeCell="B2" sqref="B2"/>
    </sheetView>
  </sheetViews>
  <sheetFormatPr defaultColWidth="8.81640625" defaultRowHeight="12.5" x14ac:dyDescent="0.25"/>
  <cols>
    <col min="1" max="1" width="0.81640625" style="192" customWidth="1"/>
    <col min="2" max="2" width="8.81640625" style="192"/>
    <col min="3" max="3" width="7.453125" style="192" customWidth="1"/>
    <col min="4" max="4" width="7.7265625" style="192" customWidth="1"/>
    <col min="5" max="5" width="8.81640625" style="192"/>
    <col min="6" max="7" width="8.453125" style="192" customWidth="1"/>
    <col min="8" max="8" width="8.1796875" style="192" customWidth="1"/>
    <col min="9" max="9" width="8.81640625" style="192"/>
    <col min="10" max="11" width="9.26953125" style="192" customWidth="1"/>
    <col min="12" max="12" width="7.26953125" style="192" customWidth="1"/>
    <col min="13" max="13" width="2.453125" style="192" customWidth="1"/>
    <col min="14" max="14" width="9.54296875" style="192" customWidth="1"/>
    <col min="15" max="15" width="2.453125" style="192" customWidth="1"/>
    <col min="16" max="16" width="9" style="192" customWidth="1"/>
    <col min="17" max="17" width="8.81640625" style="192"/>
    <col min="18" max="18" width="2.1796875" style="192" customWidth="1"/>
    <col min="19" max="19" width="8.81640625" style="192"/>
    <col min="20" max="20" width="2.453125" style="192" customWidth="1"/>
    <col min="21" max="21" width="8.81640625" style="192"/>
    <col min="22" max="22" width="2.7265625" style="192" customWidth="1"/>
    <col min="23" max="23" width="8.81640625" style="192"/>
    <col min="24" max="24" width="2.7265625" style="192" customWidth="1"/>
    <col min="25" max="25" width="9.1796875" style="192" bestFit="1" customWidth="1"/>
    <col min="26" max="26" width="2.453125" style="192" customWidth="1"/>
    <col min="27" max="27" width="8.1796875" style="192" customWidth="1"/>
    <col min="28" max="28" width="4.54296875" style="192" customWidth="1"/>
    <col min="29" max="29" width="10" style="192" customWidth="1"/>
    <col min="30" max="30" width="10.453125" style="192" customWidth="1"/>
    <col min="31" max="31" width="28.54296875" style="192" hidden="1" customWidth="1"/>
    <col min="32" max="32" width="4" style="192" hidden="1" customWidth="1"/>
    <col min="33" max="33" width="11.7265625" style="192" hidden="1" customWidth="1"/>
    <col min="34" max="34" width="10.26953125" style="14" hidden="1" customWidth="1"/>
    <col min="35" max="35" width="11.1796875" style="14" hidden="1" customWidth="1"/>
    <col min="36" max="36" width="13.81640625" style="14" hidden="1" customWidth="1"/>
    <col min="37" max="37" width="10.54296875" style="14" hidden="1" customWidth="1"/>
    <col min="38" max="38" width="9.81640625" style="14" hidden="1" customWidth="1"/>
    <col min="39" max="39" width="46" style="14" hidden="1" customWidth="1"/>
    <col min="40" max="40" width="8.7265625" style="14" hidden="1" customWidth="1"/>
    <col min="41" max="41" width="5.453125" style="14" hidden="1" customWidth="1"/>
    <col min="42" max="42" width="10.1796875" style="14" hidden="1" customWidth="1"/>
    <col min="43" max="43" width="8.54296875" style="14" hidden="1" customWidth="1"/>
    <col min="44" max="44" width="18.81640625" style="14" hidden="1" customWidth="1"/>
    <col min="45" max="45" width="22.81640625" style="14" hidden="1" customWidth="1"/>
    <col min="46" max="46" width="20.7265625" style="14" hidden="1" customWidth="1"/>
    <col min="47" max="47" width="11.453125" style="14" hidden="1" customWidth="1"/>
    <col min="48" max="48" width="11.81640625" style="14" hidden="1" customWidth="1"/>
    <col min="49" max="49" width="15.54296875" style="14" hidden="1" customWidth="1"/>
    <col min="50" max="50" width="63.54296875" style="14" hidden="1" customWidth="1"/>
    <col min="51" max="51" width="36.81640625" style="14" hidden="1" customWidth="1"/>
    <col min="52" max="52" width="23.1796875" style="14" hidden="1" customWidth="1"/>
    <col min="53" max="53" width="14.453125" style="14" hidden="1" customWidth="1"/>
    <col min="54" max="54" width="9" style="14" hidden="1" customWidth="1"/>
    <col min="55" max="55" width="8.26953125" style="14" hidden="1" customWidth="1"/>
    <col min="56" max="56" width="9.7265625" style="14" hidden="1" customWidth="1"/>
    <col min="57" max="57" width="7.26953125" style="14" hidden="1" customWidth="1"/>
    <col min="58" max="58" width="5.7265625" style="14" customWidth="1"/>
    <col min="59" max="59" width="8.81640625" style="14" customWidth="1"/>
    <col min="60" max="60" width="25.1796875" style="14" customWidth="1"/>
    <col min="61" max="66" width="8.81640625" style="14" customWidth="1"/>
    <col min="67" max="1026" width="8.81640625" style="14"/>
    <col min="1027" max="16384" width="8.81640625" style="192"/>
  </cols>
  <sheetData>
    <row r="1" spans="1:62" ht="12.75" customHeight="1" x14ac:dyDescent="0.4">
      <c r="A1" s="1"/>
      <c r="B1" s="1" t="s">
        <v>0</v>
      </c>
      <c r="C1" s="1"/>
      <c r="D1" s="1"/>
      <c r="E1" s="1"/>
      <c r="F1" s="1"/>
      <c r="G1" s="2"/>
      <c r="H1" s="3"/>
      <c r="I1" s="2"/>
      <c r="J1" s="403" t="s">
        <v>1</v>
      </c>
      <c r="K1" s="403"/>
      <c r="L1" s="403"/>
      <c r="M1" s="403"/>
      <c r="N1" s="403"/>
      <c r="O1" s="403"/>
      <c r="P1" s="1"/>
      <c r="Q1" s="1"/>
      <c r="R1" s="1"/>
      <c r="S1" s="1"/>
      <c r="T1" s="1"/>
      <c r="U1" s="1"/>
      <c r="V1" s="1"/>
      <c r="W1" s="1"/>
      <c r="X1" s="1"/>
      <c r="Y1" s="1"/>
      <c r="Z1" s="1"/>
      <c r="AA1" s="1"/>
      <c r="AB1" s="1"/>
      <c r="AC1" s="1"/>
      <c r="AD1" s="1"/>
      <c r="AE1" s="4" t="s">
        <v>2</v>
      </c>
      <c r="AF1" s="5"/>
      <c r="AG1" s="5"/>
      <c r="AH1" s="5"/>
      <c r="AI1" s="6"/>
      <c r="AJ1" s="7" t="s">
        <v>2</v>
      </c>
      <c r="AK1" s="8" t="s">
        <v>3</v>
      </c>
      <c r="AL1" s="5"/>
      <c r="AM1" s="9" t="s">
        <v>4</v>
      </c>
      <c r="AN1" s="10"/>
      <c r="AO1" s="10"/>
      <c r="AP1" s="10"/>
      <c r="AQ1" s="10"/>
      <c r="AR1" s="11"/>
      <c r="AS1" s="5"/>
      <c r="AT1" s="5"/>
      <c r="AU1" s="12"/>
      <c r="AV1" s="12"/>
      <c r="AW1" s="12"/>
      <c r="AX1" s="12"/>
      <c r="AY1" s="12"/>
      <c r="AZ1" s="12"/>
      <c r="BA1" s="13"/>
      <c r="BB1" s="13"/>
      <c r="BC1" s="13"/>
      <c r="BD1" s="13"/>
      <c r="BE1" s="13"/>
      <c r="BF1" s="1"/>
      <c r="BI1" s="15"/>
      <c r="BJ1" s="16"/>
    </row>
    <row r="2" spans="1:62" ht="12.75" customHeight="1" thickBot="1" x14ac:dyDescent="0.45">
      <c r="A2" s="1"/>
      <c r="B2" s="17" t="s">
        <v>5</v>
      </c>
      <c r="C2" s="18" t="s">
        <v>1</v>
      </c>
      <c r="D2" s="1"/>
      <c r="E2" s="1"/>
      <c r="F2" s="1"/>
      <c r="G2" s="2"/>
      <c r="H2" s="3"/>
      <c r="I2" s="2"/>
      <c r="J2" s="403"/>
      <c r="K2" s="403"/>
      <c r="L2" s="403"/>
      <c r="M2" s="403"/>
      <c r="N2" s="403"/>
      <c r="O2" s="403"/>
      <c r="P2" s="1"/>
      <c r="Q2" s="1"/>
      <c r="R2" s="1"/>
      <c r="S2" s="1"/>
      <c r="T2" s="1"/>
      <c r="U2" s="404" t="s">
        <v>6</v>
      </c>
      <c r="V2" s="404"/>
      <c r="W2" s="404"/>
      <c r="X2" s="404"/>
      <c r="Y2" s="404"/>
      <c r="Z2" s="404"/>
      <c r="AA2" s="404"/>
      <c r="AB2" s="404"/>
      <c r="AC2" s="1"/>
      <c r="AD2" s="1"/>
      <c r="AE2" s="4" t="s">
        <v>7</v>
      </c>
      <c r="AF2" s="5"/>
      <c r="AG2" s="5"/>
      <c r="AH2" s="5"/>
      <c r="AI2" s="6"/>
      <c r="AJ2" s="19" t="s">
        <v>8</v>
      </c>
      <c r="AK2" s="20" t="s">
        <v>9</v>
      </c>
      <c r="AL2" s="5"/>
      <c r="AM2" s="21" t="s">
        <v>10</v>
      </c>
      <c r="AN2" s="22"/>
      <c r="AO2" s="22"/>
      <c r="AP2" s="22"/>
      <c r="AQ2" s="22"/>
      <c r="AR2" s="23"/>
      <c r="AS2" s="5"/>
      <c r="AT2" s="5"/>
      <c r="AU2" s="12"/>
      <c r="AV2" s="12"/>
      <c r="AW2" s="12"/>
      <c r="AX2" s="12"/>
      <c r="AY2" s="12" t="s">
        <v>11</v>
      </c>
      <c r="AZ2" s="12"/>
      <c r="BA2" s="13"/>
      <c r="BB2" s="13"/>
      <c r="BC2" s="13"/>
      <c r="BD2" s="13"/>
      <c r="BE2" s="13"/>
      <c r="BF2" s="1"/>
      <c r="BI2" s="24" t="s">
        <v>12</v>
      </c>
      <c r="BJ2" s="24"/>
    </row>
    <row r="3" spans="1:62" ht="12.75" customHeight="1" thickBot="1" x14ac:dyDescent="0.35">
      <c r="A3" s="1"/>
      <c r="B3" s="25" t="s">
        <v>13</v>
      </c>
      <c r="C3" s="1"/>
      <c r="D3" s="405" t="s">
        <v>14</v>
      </c>
      <c r="E3" s="406"/>
      <c r="F3" s="406"/>
      <c r="G3" s="407"/>
      <c r="H3" s="408" t="str">
        <f>IF(IFERROR(VLOOKUP(D3,AS5:AU80,2,FALSE),"NO_ERROR")&lt;&gt;"NO_ERROR","",IF(D3="","","UNKNOWN DPC PROJECT!"))</f>
        <v/>
      </c>
      <c r="I3" s="409"/>
      <c r="J3" s="409"/>
      <c r="K3" s="1"/>
      <c r="L3" s="1"/>
      <c r="M3" s="1"/>
      <c r="N3" s="1"/>
      <c r="O3" s="1"/>
      <c r="P3" s="1"/>
      <c r="Q3" s="1"/>
      <c r="R3" s="1"/>
      <c r="S3" s="1"/>
      <c r="T3" s="1"/>
      <c r="U3" s="404"/>
      <c r="V3" s="404"/>
      <c r="W3" s="404"/>
      <c r="X3" s="404"/>
      <c r="Y3" s="404"/>
      <c r="Z3" s="404"/>
      <c r="AA3" s="404"/>
      <c r="AB3" s="404"/>
      <c r="AC3" s="1"/>
      <c r="AD3" s="1"/>
      <c r="AE3" s="4" t="s">
        <v>15</v>
      </c>
      <c r="AF3" s="5"/>
      <c r="AG3" s="5"/>
      <c r="AH3" s="5"/>
      <c r="AI3" s="5"/>
      <c r="AJ3" s="19" t="s">
        <v>15</v>
      </c>
      <c r="AK3" s="20"/>
      <c r="AL3" s="5"/>
      <c r="AM3" s="5"/>
      <c r="AN3" s="5"/>
      <c r="AO3" s="5"/>
      <c r="AP3" s="5"/>
      <c r="AQ3" s="5"/>
      <c r="AR3" s="5"/>
      <c r="AS3" s="5"/>
      <c r="AT3" s="5"/>
      <c r="AU3" s="12"/>
      <c r="AV3" s="12"/>
      <c r="AW3" s="12"/>
      <c r="AX3" s="5"/>
      <c r="AY3" s="5"/>
      <c r="AZ3" s="5"/>
      <c r="BA3" s="13"/>
      <c r="BB3" s="13"/>
      <c r="BC3" s="13"/>
      <c r="BD3" s="13"/>
      <c r="BE3" s="13"/>
      <c r="BF3" s="1"/>
      <c r="BI3" s="26" t="str">
        <f xml:space="preserve"> "Dip = " &amp; J12</f>
        <v>Dip = -90</v>
      </c>
      <c r="BJ3" s="27">
        <f>IF(K12="From Horizontal",1,-1)</f>
        <v>1</v>
      </c>
    </row>
    <row r="4" spans="1:62" ht="13.5" customHeight="1" thickBot="1" x14ac:dyDescent="0.35">
      <c r="A4" s="28"/>
      <c r="B4" s="29" t="s">
        <v>16</v>
      </c>
      <c r="C4" s="1"/>
      <c r="D4" s="410" t="str">
        <f>IF(IFERROR(VLOOKUP(D3,AS5:AU80,2,FALSE),D3)=0,"",IFERROR(VLOOKUP(D3,AS5:AU80,2,FALSE),D3))</f>
        <v>RIO TINTO IRON ORE</v>
      </c>
      <c r="E4" s="411"/>
      <c r="F4" s="411"/>
      <c r="G4" s="412"/>
      <c r="H4" s="1"/>
      <c r="I4" s="30" t="s">
        <v>17</v>
      </c>
      <c r="J4" s="31" t="s">
        <v>18</v>
      </c>
      <c r="K4" s="1"/>
      <c r="L4" s="1"/>
      <c r="M4" s="1"/>
      <c r="N4" s="1"/>
      <c r="O4" s="1"/>
      <c r="P4" s="1"/>
      <c r="Q4" s="30" t="s">
        <v>19</v>
      </c>
      <c r="R4" s="1"/>
      <c r="S4" s="32">
        <v>10</v>
      </c>
      <c r="T4" s="1"/>
      <c r="U4" s="413" t="s">
        <v>20</v>
      </c>
      <c r="V4" s="413"/>
      <c r="W4" s="413"/>
      <c r="X4" s="413"/>
      <c r="Y4" s="413"/>
      <c r="Z4" s="413"/>
      <c r="AA4" s="413"/>
      <c r="AB4" s="413"/>
      <c r="AC4" s="1"/>
      <c r="AD4" s="1"/>
      <c r="AE4" s="33" t="s">
        <v>21</v>
      </c>
      <c r="AF4" s="34" t="s">
        <v>22</v>
      </c>
      <c r="AG4" s="6" t="s">
        <v>23</v>
      </c>
      <c r="AH4" s="6" t="s">
        <v>24</v>
      </c>
      <c r="AI4" s="6" t="s">
        <v>25</v>
      </c>
      <c r="AJ4" s="35" t="s">
        <v>26</v>
      </c>
      <c r="AK4" s="36" t="s">
        <v>27</v>
      </c>
      <c r="AL4" s="6" t="s">
        <v>28</v>
      </c>
      <c r="AM4" s="37" t="s">
        <v>29</v>
      </c>
      <c r="AN4" s="6" t="s">
        <v>30</v>
      </c>
      <c r="AO4" s="6" t="s">
        <v>31</v>
      </c>
      <c r="AP4" s="6" t="s">
        <v>32</v>
      </c>
      <c r="AQ4" s="6" t="s">
        <v>33</v>
      </c>
      <c r="AR4" s="6" t="s">
        <v>34</v>
      </c>
      <c r="AS4" s="38" t="s">
        <v>13</v>
      </c>
      <c r="AT4" s="39" t="s">
        <v>35</v>
      </c>
      <c r="AU4" s="40" t="s">
        <v>36</v>
      </c>
      <c r="AV4" s="41" t="s">
        <v>37</v>
      </c>
      <c r="AW4" s="12"/>
      <c r="AX4" s="42" t="s">
        <v>38</v>
      </c>
      <c r="AY4" s="42" t="s">
        <v>39</v>
      </c>
      <c r="AZ4" s="42" t="s">
        <v>40</v>
      </c>
      <c r="BA4" s="13" t="s">
        <v>41</v>
      </c>
      <c r="BB4" s="13" t="s">
        <v>42</v>
      </c>
      <c r="BC4" s="13" t="s">
        <v>43</v>
      </c>
      <c r="BD4" s="43" t="s">
        <v>44</v>
      </c>
      <c r="BE4" s="44" t="s">
        <v>45</v>
      </c>
      <c r="BF4" s="1"/>
      <c r="BI4" s="45">
        <v>0</v>
      </c>
      <c r="BJ4" s="46">
        <v>0</v>
      </c>
    </row>
    <row r="5" spans="1:62" x14ac:dyDescent="0.25">
      <c r="A5" s="28"/>
      <c r="B5" s="47" t="s">
        <v>46</v>
      </c>
      <c r="C5" s="1"/>
      <c r="D5" s="388" t="str">
        <f>IF(IFERROR(VLOOKUP(D3,AS5:AU80,3,FALSE),"")=0,"",IFERROR(VLOOKUP(D3,AS5:AU80,3,FALSE),""))</f>
        <v>BROCKMAN</v>
      </c>
      <c r="E5" s="389"/>
      <c r="F5" s="389"/>
      <c r="G5" s="390"/>
      <c r="H5" s="1"/>
      <c r="I5" s="1"/>
      <c r="J5" s="1"/>
      <c r="K5" s="1"/>
      <c r="L5" s="1"/>
      <c r="M5" s="1"/>
      <c r="N5" s="1"/>
      <c r="O5" s="1"/>
      <c r="P5" s="1"/>
      <c r="Q5" s="1"/>
      <c r="R5" s="1"/>
      <c r="S5" s="1"/>
      <c r="T5" s="1"/>
      <c r="U5" s="1"/>
      <c r="V5" s="1"/>
      <c r="W5" s="1"/>
      <c r="X5" s="1"/>
      <c r="Y5" s="1"/>
      <c r="Z5" s="1"/>
      <c r="AA5" s="1"/>
      <c r="AB5" s="1"/>
      <c r="AC5" s="1"/>
      <c r="AD5" s="1"/>
      <c r="AE5" s="48"/>
      <c r="AF5" s="5"/>
      <c r="AG5" s="5" t="s">
        <v>47</v>
      </c>
      <c r="AH5" s="5"/>
      <c r="AI5" s="5"/>
      <c r="AJ5" s="49"/>
      <c r="AK5" s="50"/>
      <c r="AL5" s="5"/>
      <c r="AM5" s="51" t="s">
        <v>48</v>
      </c>
      <c r="AN5" s="5" t="s">
        <v>48</v>
      </c>
      <c r="AO5" s="12" t="s">
        <v>49</v>
      </c>
      <c r="AP5" s="12"/>
      <c r="AQ5" s="12"/>
      <c r="AR5" s="6"/>
      <c r="AS5" s="52" t="s">
        <v>48</v>
      </c>
      <c r="AT5" s="53" t="s">
        <v>48</v>
      </c>
      <c r="AU5" s="54"/>
      <c r="AV5" s="12"/>
      <c r="AW5" s="12"/>
      <c r="AX5" s="55" t="s">
        <v>50</v>
      </c>
      <c r="AY5" s="56" t="s">
        <v>51</v>
      </c>
      <c r="AZ5" s="57" t="s">
        <v>52</v>
      </c>
      <c r="BA5" s="13"/>
      <c r="BB5" s="13"/>
      <c r="BC5" s="13"/>
      <c r="BD5" s="58">
        <v>2665</v>
      </c>
      <c r="BE5" s="59">
        <v>9622</v>
      </c>
      <c r="BF5" s="1"/>
      <c r="BI5" s="60">
        <f>COS(RADIANS(J12))*10</f>
        <v>6.1257422745431001E-16</v>
      </c>
      <c r="BJ5" s="61">
        <f>SIN(RADIANS(J12))*10*BJ3</f>
        <v>-10</v>
      </c>
    </row>
    <row r="6" spans="1:62" x14ac:dyDescent="0.25">
      <c r="A6" s="28"/>
      <c r="B6" s="30"/>
      <c r="C6" s="30"/>
      <c r="D6" s="30"/>
      <c r="E6" s="30"/>
      <c r="F6" s="30"/>
      <c r="G6" s="1"/>
      <c r="H6" s="1"/>
      <c r="I6" s="30" t="s">
        <v>53</v>
      </c>
      <c r="J6" s="62" t="s">
        <v>54</v>
      </c>
      <c r="K6" s="1"/>
      <c r="L6" s="30"/>
      <c r="M6" s="30" t="s">
        <v>55</v>
      </c>
      <c r="N6" s="62" t="s">
        <v>56</v>
      </c>
      <c r="O6" s="1"/>
      <c r="P6" s="1"/>
      <c r="Q6" s="1"/>
      <c r="R6" s="1"/>
      <c r="S6" s="1"/>
      <c r="T6" s="1"/>
      <c r="U6" s="1"/>
      <c r="V6" s="1"/>
      <c r="W6" s="1"/>
      <c r="X6" s="1"/>
      <c r="Y6" s="1"/>
      <c r="Z6" s="1"/>
      <c r="AA6" s="1"/>
      <c r="AB6" s="1"/>
      <c r="AC6" s="1"/>
      <c r="AD6" s="1"/>
      <c r="AE6" s="63" t="s">
        <v>57</v>
      </c>
      <c r="AF6" s="5">
        <v>1</v>
      </c>
      <c r="AG6" s="5" t="s">
        <v>58</v>
      </c>
      <c r="AH6" s="5" t="s">
        <v>54</v>
      </c>
      <c r="AI6" s="12" t="s">
        <v>59</v>
      </c>
      <c r="AJ6" s="49"/>
      <c r="AK6" s="50" t="s">
        <v>60</v>
      </c>
      <c r="AL6" s="5" t="s">
        <v>61</v>
      </c>
      <c r="AM6" s="51" t="s">
        <v>62</v>
      </c>
      <c r="AN6" s="5" t="s">
        <v>63</v>
      </c>
      <c r="AO6" s="12" t="s">
        <v>64</v>
      </c>
      <c r="AP6" s="12" t="s">
        <v>65</v>
      </c>
      <c r="AQ6" s="12">
        <v>10</v>
      </c>
      <c r="AR6" s="5" t="s">
        <v>66</v>
      </c>
      <c r="AS6" s="52" t="s">
        <v>67</v>
      </c>
      <c r="AT6" s="64" t="s">
        <v>68</v>
      </c>
      <c r="AU6" s="54"/>
      <c r="AV6" s="12" t="s">
        <v>69</v>
      </c>
      <c r="AW6" s="12"/>
      <c r="AX6" s="55" t="s">
        <v>70</v>
      </c>
      <c r="AY6" s="65" t="s">
        <v>71</v>
      </c>
      <c r="AZ6" s="54" t="s">
        <v>72</v>
      </c>
      <c r="BA6" s="13" t="s">
        <v>58</v>
      </c>
      <c r="BB6" s="13"/>
      <c r="BC6" s="13"/>
      <c r="BD6" s="58" t="s">
        <v>73</v>
      </c>
      <c r="BE6" s="59" t="s">
        <v>74</v>
      </c>
      <c r="BF6" s="1"/>
      <c r="BI6" s="66">
        <f>COS(RADIANS(J12))*5</f>
        <v>3.06287113727155E-16</v>
      </c>
      <c r="BJ6" s="67">
        <f>SIN(RADIANS(J12))*5*BJ3</f>
        <v>-5</v>
      </c>
    </row>
    <row r="7" spans="1:62" ht="12" customHeight="1" x14ac:dyDescent="0.25">
      <c r="A7" s="28"/>
      <c r="B7" s="29" t="s">
        <v>75</v>
      </c>
      <c r="C7" s="1"/>
      <c r="D7" s="391"/>
      <c r="E7" s="392"/>
      <c r="F7" s="393"/>
      <c r="G7" s="1"/>
      <c r="H7" s="1"/>
      <c r="I7" s="1"/>
      <c r="J7" s="1"/>
      <c r="K7" s="1"/>
      <c r="L7" s="1"/>
      <c r="M7" s="1"/>
      <c r="N7" s="1"/>
      <c r="O7" s="1"/>
      <c r="P7" s="1"/>
      <c r="Q7" s="1"/>
      <c r="R7" s="1"/>
      <c r="S7" s="1"/>
      <c r="T7" s="1"/>
      <c r="U7" s="68"/>
      <c r="V7" s="69"/>
      <c r="W7" s="1"/>
      <c r="X7" s="1"/>
      <c r="Y7" s="1"/>
      <c r="Z7" s="1"/>
      <c r="AA7" s="1"/>
      <c r="AB7" s="1"/>
      <c r="AC7" s="1"/>
      <c r="AD7" s="1"/>
      <c r="AE7" s="63" t="s">
        <v>76</v>
      </c>
      <c r="AF7" s="5">
        <v>2</v>
      </c>
      <c r="AG7" s="5"/>
      <c r="AH7" s="5" t="s">
        <v>56</v>
      </c>
      <c r="AI7" s="12" t="s">
        <v>77</v>
      </c>
      <c r="AJ7" s="49" t="s">
        <v>78</v>
      </c>
      <c r="AK7" s="70">
        <f>IF(ISNUMBER(VLOOKUP("DUMMY",'Cover Sheet'!$B$34:$AA$44,13,0)),(VLOOKUP("DUMMY",'Cover Sheet'!$B$34:$AA$44,24,0)),"")</f>
        <v>0</v>
      </c>
      <c r="AL7" s="5" t="s">
        <v>79</v>
      </c>
      <c r="AM7" s="51" t="s">
        <v>80</v>
      </c>
      <c r="AN7" s="5" t="s">
        <v>81</v>
      </c>
      <c r="AO7" s="12" t="s">
        <v>82</v>
      </c>
      <c r="AP7" s="12" t="s">
        <v>83</v>
      </c>
      <c r="AQ7" s="12">
        <v>20</v>
      </c>
      <c r="AR7" s="5" t="s">
        <v>84</v>
      </c>
      <c r="AS7" s="52" t="s">
        <v>85</v>
      </c>
      <c r="AT7" s="64" t="s">
        <v>85</v>
      </c>
      <c r="AU7" s="54"/>
      <c r="AV7" s="12" t="s">
        <v>86</v>
      </c>
      <c r="AW7" s="12"/>
      <c r="AX7" s="55" t="s">
        <v>87</v>
      </c>
      <c r="AY7" s="65" t="s">
        <v>88</v>
      </c>
      <c r="AZ7" s="54" t="s">
        <v>89</v>
      </c>
      <c r="BA7" s="13" t="s">
        <v>58</v>
      </c>
      <c r="BB7" s="13"/>
      <c r="BC7" s="13"/>
      <c r="BD7" s="58" t="s">
        <v>90</v>
      </c>
      <c r="BE7" s="59" t="s">
        <v>74</v>
      </c>
      <c r="BF7" s="1"/>
      <c r="BI7" s="66">
        <f>COS(RADIANS(J12/1.333))*5</f>
        <v>1.9120562136830013</v>
      </c>
      <c r="BJ7" s="67">
        <f>SIN(RADIANS(J12/1.333))*5*BJ3</f>
        <v>-4.6199611508882006</v>
      </c>
    </row>
    <row r="8" spans="1:62" ht="12" customHeight="1" x14ac:dyDescent="0.25">
      <c r="A8" s="28"/>
      <c r="B8" s="29" t="s">
        <v>91</v>
      </c>
      <c r="C8" s="1"/>
      <c r="D8" s="71"/>
      <c r="E8" s="72"/>
      <c r="F8" s="73"/>
      <c r="G8" s="1"/>
      <c r="H8" s="1"/>
      <c r="I8" s="30" t="s">
        <v>92</v>
      </c>
      <c r="J8" s="394" t="s">
        <v>93</v>
      </c>
      <c r="K8" s="395"/>
      <c r="L8" s="395"/>
      <c r="M8" s="395"/>
      <c r="N8" s="395"/>
      <c r="O8" s="395"/>
      <c r="P8" s="396"/>
      <c r="Q8" s="1"/>
      <c r="R8" s="1"/>
      <c r="S8" s="1"/>
      <c r="T8" s="1"/>
      <c r="U8" s="1"/>
      <c r="V8" s="1"/>
      <c r="W8" s="1"/>
      <c r="X8" s="1"/>
      <c r="Y8" s="1"/>
      <c r="Z8" s="1"/>
      <c r="AA8" s="1"/>
      <c r="AB8" s="1"/>
      <c r="AC8" s="1"/>
      <c r="AD8" s="1"/>
      <c r="AE8" s="63" t="s">
        <v>94</v>
      </c>
      <c r="AF8" s="5">
        <v>3</v>
      </c>
      <c r="AG8" s="5"/>
      <c r="AH8" s="5" t="s">
        <v>95</v>
      </c>
      <c r="AI8" s="12" t="s">
        <v>96</v>
      </c>
      <c r="AJ8" s="74" t="s">
        <v>97</v>
      </c>
      <c r="AK8" s="70">
        <f>'All Details'!HM2</f>
        <v>0</v>
      </c>
      <c r="AL8" s="12" t="s">
        <v>98</v>
      </c>
      <c r="AM8" s="51" t="s">
        <v>99</v>
      </c>
      <c r="AN8" s="5" t="s">
        <v>100</v>
      </c>
      <c r="AO8" s="12"/>
      <c r="AP8" s="12" t="s">
        <v>101</v>
      </c>
      <c r="AQ8" s="12">
        <v>25</v>
      </c>
      <c r="AR8" s="5" t="s">
        <v>102</v>
      </c>
      <c r="AS8" s="52" t="s">
        <v>103</v>
      </c>
      <c r="AT8" s="12" t="s">
        <v>103</v>
      </c>
      <c r="AU8" s="54"/>
      <c r="AV8" s="12" t="s">
        <v>104</v>
      </c>
      <c r="AW8" s="12"/>
      <c r="AX8" s="55" t="s">
        <v>105</v>
      </c>
      <c r="AY8" s="65" t="s">
        <v>106</v>
      </c>
      <c r="AZ8" s="54" t="s">
        <v>107</v>
      </c>
      <c r="BA8" s="13" t="s">
        <v>58</v>
      </c>
      <c r="BB8" s="13"/>
      <c r="BC8" s="13"/>
      <c r="BD8" s="58" t="s">
        <v>108</v>
      </c>
      <c r="BE8" s="59" t="s">
        <v>74</v>
      </c>
      <c r="BF8" s="1"/>
      <c r="BI8" s="66">
        <f>COS(RADIANS(J12/2))*5</f>
        <v>3.5355339059327378</v>
      </c>
      <c r="BJ8" s="67">
        <f>SIN(RADIANS(J12/2))*5*BJ3</f>
        <v>-3.5355339059327373</v>
      </c>
    </row>
    <row r="9" spans="1:62" ht="14.5" x14ac:dyDescent="0.35">
      <c r="A9" s="1"/>
      <c r="B9" s="1"/>
      <c r="C9" s="1"/>
      <c r="D9" s="75"/>
      <c r="E9" s="76"/>
      <c r="F9" s="77"/>
      <c r="G9" s="1"/>
      <c r="H9" s="1"/>
      <c r="I9" s="1"/>
      <c r="J9" s="1"/>
      <c r="K9" s="1"/>
      <c r="L9" s="1"/>
      <c r="M9" s="1"/>
      <c r="N9" s="1"/>
      <c r="O9" s="1"/>
      <c r="P9" s="1"/>
      <c r="Q9" s="1"/>
      <c r="R9" s="1"/>
      <c r="S9" s="1"/>
      <c r="T9" s="1"/>
      <c r="U9" s="1"/>
      <c r="V9" s="1"/>
      <c r="W9" s="397" t="s">
        <v>109</v>
      </c>
      <c r="X9" s="397"/>
      <c r="Y9" s="79">
        <v>1</v>
      </c>
      <c r="Z9" s="1"/>
      <c r="AA9" s="1"/>
      <c r="AB9" s="1"/>
      <c r="AC9" s="1"/>
      <c r="AD9" s="1"/>
      <c r="AE9" s="5"/>
      <c r="AF9" s="5">
        <v>4</v>
      </c>
      <c r="AG9" s="5"/>
      <c r="AH9" s="5"/>
      <c r="AI9" s="12" t="s">
        <v>110</v>
      </c>
      <c r="AJ9" s="74">
        <v>9238</v>
      </c>
      <c r="AK9" s="70">
        <f>'All Details'!IM2</f>
        <v>0</v>
      </c>
      <c r="AL9" s="12" t="s">
        <v>111</v>
      </c>
      <c r="AM9" s="51" t="s">
        <v>112</v>
      </c>
      <c r="AN9" s="5" t="s">
        <v>113</v>
      </c>
      <c r="AO9" s="12"/>
      <c r="AP9" s="12" t="s">
        <v>114</v>
      </c>
      <c r="AQ9" s="12">
        <v>50</v>
      </c>
      <c r="AR9" s="5" t="s">
        <v>115</v>
      </c>
      <c r="AS9" s="52" t="s">
        <v>116</v>
      </c>
      <c r="AT9" s="12" t="s">
        <v>116</v>
      </c>
      <c r="AU9" s="54"/>
      <c r="AV9" s="12" t="s">
        <v>117</v>
      </c>
      <c r="AW9" s="12"/>
      <c r="AX9" s="55" t="s">
        <v>118</v>
      </c>
      <c r="AY9" s="65" t="s">
        <v>119</v>
      </c>
      <c r="AZ9" s="54" t="s">
        <v>120</v>
      </c>
      <c r="BA9" s="13" t="s">
        <v>58</v>
      </c>
      <c r="BB9" s="13"/>
      <c r="BC9" s="13"/>
      <c r="BD9" s="58" t="s">
        <v>121</v>
      </c>
      <c r="BE9" s="59" t="s">
        <v>74</v>
      </c>
      <c r="BF9" s="1"/>
      <c r="BI9" s="66">
        <f>COS(RADIANS(J12/4))*5</f>
        <v>4.6193976625564339</v>
      </c>
      <c r="BJ9" s="67">
        <f>SIN(RADIANS(J12/4))*5*BJ3</f>
        <v>-1.913417161825449</v>
      </c>
    </row>
    <row r="10" spans="1:62" x14ac:dyDescent="0.25">
      <c r="A10" s="28"/>
      <c r="B10" s="29"/>
      <c r="C10" s="1"/>
      <c r="D10" s="1" t="s">
        <v>122</v>
      </c>
      <c r="E10" s="1"/>
      <c r="F10" s="1"/>
      <c r="G10" s="1"/>
      <c r="H10" s="29"/>
      <c r="I10" s="1"/>
      <c r="J10" s="1"/>
      <c r="K10" s="1"/>
      <c r="L10" s="1"/>
      <c r="M10" s="1"/>
      <c r="N10" s="1"/>
      <c r="O10" s="1"/>
      <c r="P10" s="1"/>
      <c r="Q10" s="1"/>
      <c r="R10" s="1"/>
      <c r="S10" s="1"/>
      <c r="T10" s="1"/>
      <c r="U10" s="1"/>
      <c r="V10" s="1"/>
      <c r="W10" s="1"/>
      <c r="X10" s="1" t="s">
        <v>123</v>
      </c>
      <c r="Y10" s="1"/>
      <c r="Z10" s="1"/>
      <c r="AA10" s="1"/>
      <c r="AB10" s="1"/>
      <c r="AC10" s="1"/>
      <c r="AD10" s="1"/>
      <c r="AE10" s="5"/>
      <c r="AF10" s="5">
        <v>5</v>
      </c>
      <c r="AG10" s="5"/>
      <c r="AH10" s="6" t="s">
        <v>124</v>
      </c>
      <c r="AI10" s="12" t="s">
        <v>125</v>
      </c>
      <c r="AJ10" s="74">
        <v>9239</v>
      </c>
      <c r="AK10" s="70">
        <f>'All Details'!IZ2</f>
        <v>0</v>
      </c>
      <c r="AL10" s="5" t="s">
        <v>126</v>
      </c>
      <c r="AM10" s="51" t="s">
        <v>127</v>
      </c>
      <c r="AN10" s="5" t="s">
        <v>128</v>
      </c>
      <c r="AO10" s="12" t="s">
        <v>129</v>
      </c>
      <c r="AP10" s="12" t="s">
        <v>130</v>
      </c>
      <c r="AQ10" s="12">
        <v>100</v>
      </c>
      <c r="AR10" s="5" t="s">
        <v>131</v>
      </c>
      <c r="AS10" s="52" t="s">
        <v>132</v>
      </c>
      <c r="AT10" s="64" t="s">
        <v>133</v>
      </c>
      <c r="AU10" s="54"/>
      <c r="AV10" s="12" t="s">
        <v>134</v>
      </c>
      <c r="AW10" s="12"/>
      <c r="AX10" s="55" t="s">
        <v>135</v>
      </c>
      <c r="AY10" s="65" t="s">
        <v>136</v>
      </c>
      <c r="AZ10" s="54" t="s">
        <v>137</v>
      </c>
      <c r="BA10" s="13" t="s">
        <v>58</v>
      </c>
      <c r="BB10" s="13"/>
      <c r="BC10" s="13"/>
      <c r="BD10" s="58" t="s">
        <v>138</v>
      </c>
      <c r="BE10" s="59" t="s">
        <v>74</v>
      </c>
      <c r="BF10" s="1"/>
      <c r="BI10" s="66">
        <v>5</v>
      </c>
      <c r="BJ10" s="67">
        <v>0</v>
      </c>
    </row>
    <row r="11" spans="1:62" ht="13" x14ac:dyDescent="0.25">
      <c r="A11" s="28"/>
      <c r="B11" s="80" t="s">
        <v>139</v>
      </c>
      <c r="C11" s="30"/>
      <c r="D11" s="398" t="s">
        <v>140</v>
      </c>
      <c r="E11" s="399"/>
      <c r="F11" s="399"/>
      <c r="G11" s="399"/>
      <c r="H11" s="1"/>
      <c r="I11" s="81" t="s">
        <v>141</v>
      </c>
      <c r="J11" s="82">
        <v>0.82</v>
      </c>
      <c r="K11" s="1"/>
      <c r="L11" s="1"/>
      <c r="M11" s="1"/>
      <c r="N11" s="1"/>
      <c r="O11" s="1"/>
      <c r="P11" s="1"/>
      <c r="Q11" s="1"/>
      <c r="R11" s="30" t="s">
        <v>142</v>
      </c>
      <c r="S11" s="83"/>
      <c r="T11" s="1"/>
      <c r="U11" s="1"/>
      <c r="V11" s="1"/>
      <c r="W11" s="1"/>
      <c r="X11" s="1"/>
      <c r="Y11" s="84" t="s">
        <v>143</v>
      </c>
      <c r="Z11" s="1"/>
      <c r="AA11" s="1"/>
      <c r="AB11" s="1"/>
      <c r="AC11" s="68"/>
      <c r="AD11" s="1"/>
      <c r="AE11" s="5"/>
      <c r="AF11" s="5">
        <v>6</v>
      </c>
      <c r="AG11" s="5"/>
      <c r="AH11" s="5"/>
      <c r="AI11" s="12" t="s">
        <v>144</v>
      </c>
      <c r="AJ11" s="74">
        <v>9622</v>
      </c>
      <c r="AK11" s="70">
        <f>'All Details'!KZ2</f>
        <v>0</v>
      </c>
      <c r="AL11" s="5" t="s">
        <v>145</v>
      </c>
      <c r="AM11" s="51" t="s">
        <v>146</v>
      </c>
      <c r="AN11" s="5" t="s">
        <v>147</v>
      </c>
      <c r="AO11" s="12" t="s">
        <v>148</v>
      </c>
      <c r="AP11" s="12" t="s">
        <v>149</v>
      </c>
      <c r="AQ11" s="12">
        <v>200</v>
      </c>
      <c r="AR11" s="5" t="s">
        <v>150</v>
      </c>
      <c r="AS11" s="52" t="s">
        <v>151</v>
      </c>
      <c r="AT11" s="64" t="s">
        <v>151</v>
      </c>
      <c r="AU11" s="54"/>
      <c r="AV11" s="12" t="s">
        <v>152</v>
      </c>
      <c r="AW11" s="12"/>
      <c r="AX11" s="55" t="s">
        <v>153</v>
      </c>
      <c r="AY11" s="65" t="s">
        <v>154</v>
      </c>
      <c r="AZ11" s="54" t="s">
        <v>155</v>
      </c>
      <c r="BA11" s="13" t="s">
        <v>58</v>
      </c>
      <c r="BB11" s="13"/>
      <c r="BC11" s="13"/>
      <c r="BD11" s="58" t="s">
        <v>156</v>
      </c>
      <c r="BE11" s="59" t="s">
        <v>74</v>
      </c>
      <c r="BF11" s="1"/>
      <c r="BI11" s="45" t="s">
        <v>157</v>
      </c>
      <c r="BJ11" s="46" t="str">
        <f>"Azimuth = " &amp; J13</f>
        <v>Azimuth = 0</v>
      </c>
    </row>
    <row r="12" spans="1:62" x14ac:dyDescent="0.25">
      <c r="A12" s="28"/>
      <c r="B12" s="1" t="s">
        <v>158</v>
      </c>
      <c r="C12" s="1"/>
      <c r="D12" s="400">
        <v>12946</v>
      </c>
      <c r="E12" s="401"/>
      <c r="F12" s="401"/>
      <c r="G12" s="402"/>
      <c r="H12" s="1"/>
      <c r="I12" s="30" t="s">
        <v>23</v>
      </c>
      <c r="J12" s="85">
        <v>-90</v>
      </c>
      <c r="K12" s="86" t="s">
        <v>58</v>
      </c>
      <c r="L12" s="1"/>
      <c r="M12" s="1"/>
      <c r="N12" s="87"/>
      <c r="O12" s="1"/>
      <c r="P12" s="1"/>
      <c r="Q12" s="1"/>
      <c r="R12" s="30" t="s">
        <v>159</v>
      </c>
      <c r="S12" s="88"/>
      <c r="T12" s="1"/>
      <c r="U12" s="89"/>
      <c r="V12" s="1"/>
      <c r="W12" s="1"/>
      <c r="X12" s="1"/>
      <c r="Y12" s="68" t="s">
        <v>160</v>
      </c>
      <c r="Z12" s="1"/>
      <c r="AA12" s="68" t="s">
        <v>161</v>
      </c>
      <c r="AB12" s="1"/>
      <c r="AC12" s="1"/>
      <c r="AD12" s="1"/>
      <c r="AE12" s="5"/>
      <c r="AF12" s="5">
        <v>7</v>
      </c>
      <c r="AG12" s="5"/>
      <c r="AH12" s="5" t="s">
        <v>162</v>
      </c>
      <c r="AI12" s="6" t="s">
        <v>163</v>
      </c>
      <c r="AJ12" s="74">
        <v>9057</v>
      </c>
      <c r="AK12" s="70">
        <f>'All Details'!HZ2</f>
        <v>0</v>
      </c>
      <c r="AL12" s="5" t="s">
        <v>164</v>
      </c>
      <c r="AM12" s="51" t="s">
        <v>165</v>
      </c>
      <c r="AN12" s="5" t="s">
        <v>166</v>
      </c>
      <c r="AO12" s="12"/>
      <c r="AP12" s="12" t="s">
        <v>167</v>
      </c>
      <c r="AQ12" s="12">
        <v>500</v>
      </c>
      <c r="AR12" s="5" t="s">
        <v>168</v>
      </c>
      <c r="AS12" s="52" t="s">
        <v>169</v>
      </c>
      <c r="AT12" s="64" t="s">
        <v>170</v>
      </c>
      <c r="AU12" s="54"/>
      <c r="AV12" s="12" t="s">
        <v>171</v>
      </c>
      <c r="AW12" s="12"/>
      <c r="AX12" s="55" t="s">
        <v>172</v>
      </c>
      <c r="AY12" s="65" t="s">
        <v>173</v>
      </c>
      <c r="AZ12" s="54" t="s">
        <v>174</v>
      </c>
      <c r="BA12" s="13" t="s">
        <v>58</v>
      </c>
      <c r="BB12" s="13"/>
      <c r="BC12" s="13"/>
      <c r="BD12" s="58" t="s">
        <v>175</v>
      </c>
      <c r="BE12" s="59" t="s">
        <v>74</v>
      </c>
      <c r="BF12" s="1"/>
      <c r="BI12" s="45">
        <v>0</v>
      </c>
      <c r="BJ12" s="46">
        <v>0</v>
      </c>
    </row>
    <row r="13" spans="1:62" x14ac:dyDescent="0.25">
      <c r="A13" s="28"/>
      <c r="B13" s="29" t="s">
        <v>176</v>
      </c>
      <c r="C13" s="30"/>
      <c r="D13" s="382" t="s">
        <v>177</v>
      </c>
      <c r="E13" s="382"/>
      <c r="F13" s="382"/>
      <c r="G13" s="382"/>
      <c r="H13" s="1"/>
      <c r="I13" s="30" t="s">
        <v>178</v>
      </c>
      <c r="J13" s="85">
        <v>0</v>
      </c>
      <c r="K13" s="1"/>
      <c r="L13" s="1"/>
      <c r="M13" s="1"/>
      <c r="N13" s="1"/>
      <c r="O13" s="1"/>
      <c r="P13" s="1"/>
      <c r="Q13" s="1"/>
      <c r="R13" s="30" t="s">
        <v>179</v>
      </c>
      <c r="S13" s="90"/>
      <c r="T13" s="1" t="s">
        <v>180</v>
      </c>
      <c r="U13" s="1"/>
      <c r="V13" s="1"/>
      <c r="W13" s="1"/>
      <c r="X13" s="1">
        <v>1</v>
      </c>
      <c r="Y13" s="91"/>
      <c r="Z13" s="1"/>
      <c r="AA13" s="91"/>
      <c r="AB13" s="1"/>
      <c r="AC13" s="1"/>
      <c r="AD13" s="1"/>
      <c r="AE13" s="5"/>
      <c r="AF13" s="5">
        <v>8</v>
      </c>
      <c r="AG13" s="5"/>
      <c r="AH13" s="5" t="s">
        <v>181</v>
      </c>
      <c r="AI13" s="5"/>
      <c r="AJ13" s="74" t="s">
        <v>182</v>
      </c>
      <c r="AK13" s="70">
        <f>'All Details'!MM2</f>
        <v>0</v>
      </c>
      <c r="AL13" s="12"/>
      <c r="AM13" s="51" t="s">
        <v>183</v>
      </c>
      <c r="AN13" s="5"/>
      <c r="AO13" s="12" t="s">
        <v>184</v>
      </c>
      <c r="AP13" s="12" t="s">
        <v>185</v>
      </c>
      <c r="AQ13" s="12">
        <v>1000</v>
      </c>
      <c r="AR13" s="5" t="s">
        <v>186</v>
      </c>
      <c r="AS13" s="52" t="s">
        <v>187</v>
      </c>
      <c r="AT13" s="64" t="s">
        <v>187</v>
      </c>
      <c r="AU13" s="54"/>
      <c r="AV13" s="12" t="s">
        <v>188</v>
      </c>
      <c r="AW13" s="12"/>
      <c r="AX13" s="55" t="s">
        <v>189</v>
      </c>
      <c r="AY13" s="65" t="s">
        <v>190</v>
      </c>
      <c r="AZ13" s="54" t="s">
        <v>191</v>
      </c>
      <c r="BA13" s="13" t="s">
        <v>58</v>
      </c>
      <c r="BB13" s="13"/>
      <c r="BC13" s="13"/>
      <c r="BD13" s="58"/>
      <c r="BE13" s="59"/>
      <c r="BF13" s="1"/>
      <c r="BI13" s="45">
        <f>SIN(RADIANS( J13))*9</f>
        <v>0</v>
      </c>
      <c r="BJ13" s="46">
        <f>COS(RADIANS( J13))*9</f>
        <v>9</v>
      </c>
    </row>
    <row r="14" spans="1:62" x14ac:dyDescent="0.25">
      <c r="A14" s="28"/>
      <c r="B14" s="29" t="s">
        <v>192</v>
      </c>
      <c r="C14" s="30"/>
      <c r="D14" s="382" t="s">
        <v>177</v>
      </c>
      <c r="E14" s="382"/>
      <c r="F14" s="382"/>
      <c r="G14" s="382"/>
      <c r="H14" s="1"/>
      <c r="I14" s="30" t="s">
        <v>193</v>
      </c>
      <c r="J14" s="92" t="s">
        <v>61</v>
      </c>
      <c r="K14" s="1"/>
      <c r="L14" s="1"/>
      <c r="M14" s="1"/>
      <c r="N14" s="1"/>
      <c r="O14" s="1"/>
      <c r="P14" s="1"/>
      <c r="Q14" s="1"/>
      <c r="R14" s="30"/>
      <c r="S14" s="1"/>
      <c r="T14" s="1"/>
      <c r="U14" s="1"/>
      <c r="V14" s="1"/>
      <c r="W14" s="1"/>
      <c r="X14" s="1">
        <v>2</v>
      </c>
      <c r="Y14" s="91"/>
      <c r="Z14" s="1"/>
      <c r="AA14" s="91"/>
      <c r="AB14" s="1"/>
      <c r="AC14" s="1"/>
      <c r="AD14" s="1"/>
      <c r="AE14" s="5"/>
      <c r="AF14" s="5">
        <v>9</v>
      </c>
      <c r="AG14" s="5"/>
      <c r="AH14" s="5" t="s">
        <v>194</v>
      </c>
      <c r="AI14" s="5" t="s">
        <v>195</v>
      </c>
      <c r="AJ14" s="74">
        <v>9321</v>
      </c>
      <c r="AK14" s="70">
        <f>'All Details'!JM2</f>
        <v>0</v>
      </c>
      <c r="AL14" s="12"/>
      <c r="AM14" s="51" t="s">
        <v>196</v>
      </c>
      <c r="AN14" s="5"/>
      <c r="AO14" s="12" t="s">
        <v>197</v>
      </c>
      <c r="AP14" s="12" t="s">
        <v>198</v>
      </c>
      <c r="AQ14" s="12"/>
      <c r="AR14" s="5" t="s">
        <v>199</v>
      </c>
      <c r="AS14" s="52" t="s">
        <v>200</v>
      </c>
      <c r="AT14" s="64" t="s">
        <v>200</v>
      </c>
      <c r="AU14" s="54"/>
      <c r="AV14" s="12"/>
      <c r="AW14" s="12"/>
      <c r="AX14" s="55"/>
      <c r="AY14" s="65" t="s">
        <v>201</v>
      </c>
      <c r="AZ14" s="54" t="s">
        <v>202</v>
      </c>
      <c r="BA14" s="13" t="s">
        <v>58</v>
      </c>
      <c r="BB14" s="13"/>
      <c r="BC14" s="13"/>
      <c r="BD14" s="58"/>
      <c r="BE14" s="59"/>
      <c r="BF14" s="1"/>
      <c r="BI14" s="45" t="s">
        <v>203</v>
      </c>
      <c r="BJ14" s="46"/>
    </row>
    <row r="15" spans="1:62" x14ac:dyDescent="0.25">
      <c r="A15" s="28"/>
      <c r="B15" s="29" t="s">
        <v>204</v>
      </c>
      <c r="C15" s="30"/>
      <c r="D15" s="383" t="s">
        <v>66</v>
      </c>
      <c r="E15" s="383"/>
      <c r="F15" s="383"/>
      <c r="G15" s="383"/>
      <c r="H15" s="1"/>
      <c r="I15" s="30" t="s">
        <v>205</v>
      </c>
      <c r="J15" s="93" t="s">
        <v>206</v>
      </c>
      <c r="K15" s="1"/>
      <c r="L15" s="1" t="s">
        <v>207</v>
      </c>
      <c r="M15" s="1"/>
      <c r="N15" s="1" t="s">
        <v>208</v>
      </c>
      <c r="O15" s="1"/>
      <c r="P15" s="1"/>
      <c r="Q15" s="1"/>
      <c r="R15" s="30" t="s">
        <v>209</v>
      </c>
      <c r="S15" s="94"/>
      <c r="T15" s="1"/>
      <c r="U15" s="95"/>
      <c r="V15" s="1"/>
      <c r="W15" s="1"/>
      <c r="X15" s="1">
        <v>3</v>
      </c>
      <c r="Y15" s="91"/>
      <c r="Z15" s="1"/>
      <c r="AA15" s="91"/>
      <c r="AB15" s="1"/>
      <c r="AC15" s="1"/>
      <c r="AD15" s="1"/>
      <c r="AE15" s="5"/>
      <c r="AF15" s="5">
        <v>10</v>
      </c>
      <c r="AG15" s="5"/>
      <c r="AH15" s="5" t="s">
        <v>210</v>
      </c>
      <c r="AI15" s="5" t="s">
        <v>211</v>
      </c>
      <c r="AJ15" s="74">
        <v>9510</v>
      </c>
      <c r="AK15" s="70">
        <f>'All Details'!KM2</f>
        <v>0</v>
      </c>
      <c r="AL15" s="12"/>
      <c r="AM15" s="51">
        <v>192</v>
      </c>
      <c r="AN15" s="5"/>
      <c r="AO15" s="5"/>
      <c r="AP15" s="12" t="s">
        <v>212</v>
      </c>
      <c r="AQ15" s="12"/>
      <c r="AR15" s="5" t="s">
        <v>213</v>
      </c>
      <c r="AS15" s="52" t="s">
        <v>214</v>
      </c>
      <c r="AT15" s="64" t="s">
        <v>214</v>
      </c>
      <c r="AU15" s="54"/>
      <c r="AV15" s="12"/>
      <c r="AW15" s="12"/>
      <c r="AX15" s="55" t="s">
        <v>215</v>
      </c>
      <c r="AY15" s="65" t="s">
        <v>216</v>
      </c>
      <c r="AZ15" s="54" t="s">
        <v>217</v>
      </c>
      <c r="BA15" s="13" t="s">
        <v>58</v>
      </c>
      <c r="BB15" s="13"/>
      <c r="BC15" s="13"/>
      <c r="BD15" s="58"/>
      <c r="BE15" s="59"/>
      <c r="BF15" s="1"/>
      <c r="BI15" s="45">
        <f>BI13</f>
        <v>0</v>
      </c>
      <c r="BJ15" s="46">
        <f>BJ13</f>
        <v>9</v>
      </c>
    </row>
    <row r="16" spans="1:62" x14ac:dyDescent="0.25">
      <c r="A16" s="28"/>
      <c r="B16" s="29" t="s">
        <v>37</v>
      </c>
      <c r="C16" s="30"/>
      <c r="D16" s="384" t="s">
        <v>69</v>
      </c>
      <c r="E16" s="384"/>
      <c r="F16" s="384"/>
      <c r="G16" s="384"/>
      <c r="H16" s="1"/>
      <c r="I16" s="30" t="s">
        <v>218</v>
      </c>
      <c r="J16" s="96"/>
      <c r="K16" s="30" t="s">
        <v>219</v>
      </c>
      <c r="L16" s="385"/>
      <c r="M16" s="386"/>
      <c r="N16" s="98" t="str">
        <f>IF(OR(L16="",J16=""),"",J16-L16)</f>
        <v/>
      </c>
      <c r="O16" s="1" t="s">
        <v>220</v>
      </c>
      <c r="P16" s="1"/>
      <c r="Q16" s="1"/>
      <c r="R16" s="30" t="s">
        <v>221</v>
      </c>
      <c r="S16" s="94"/>
      <c r="T16" s="1"/>
      <c r="U16" s="95"/>
      <c r="V16" s="1"/>
      <c r="W16" s="1"/>
      <c r="X16" s="1">
        <v>4</v>
      </c>
      <c r="Y16" s="91"/>
      <c r="Z16" s="1"/>
      <c r="AA16" s="91"/>
      <c r="AB16" s="1"/>
      <c r="AC16" s="1"/>
      <c r="AD16" s="1"/>
      <c r="AE16" s="5"/>
      <c r="AF16" s="5"/>
      <c r="AG16" s="5"/>
      <c r="AH16" s="5" t="s">
        <v>222</v>
      </c>
      <c r="AI16" s="5" t="s">
        <v>223</v>
      </c>
      <c r="AJ16" s="74">
        <v>9512</v>
      </c>
      <c r="AK16" s="70">
        <f>'All Details'!MZ2</f>
        <v>0</v>
      </c>
      <c r="AL16" s="5"/>
      <c r="AM16" s="51">
        <v>193</v>
      </c>
      <c r="AN16" s="5"/>
      <c r="AO16" s="5"/>
      <c r="AP16" s="12" t="s">
        <v>206</v>
      </c>
      <c r="AQ16" s="12"/>
      <c r="AR16" s="5" t="s">
        <v>224</v>
      </c>
      <c r="AS16" s="52" t="s">
        <v>225</v>
      </c>
      <c r="AT16" s="64" t="s">
        <v>226</v>
      </c>
      <c r="AU16" s="54"/>
      <c r="AV16" s="12"/>
      <c r="AW16" s="12"/>
      <c r="AX16" s="55" t="s">
        <v>227</v>
      </c>
      <c r="AY16" s="65" t="s">
        <v>228</v>
      </c>
      <c r="AZ16" s="54" t="s">
        <v>229</v>
      </c>
      <c r="BA16" s="13" t="s">
        <v>58</v>
      </c>
      <c r="BB16" s="13"/>
      <c r="BC16" s="13"/>
      <c r="BD16" s="58"/>
      <c r="BE16" s="59"/>
      <c r="BF16" s="1"/>
      <c r="BI16" s="45">
        <f>BI15-COS(RADIANS(90-30- J13))*2</f>
        <v>-1.0000000000000002</v>
      </c>
      <c r="BJ16" s="46">
        <f>BJ15-SIN(RADIANS(90-30- J13))*2</f>
        <v>7.2679491924311233</v>
      </c>
    </row>
    <row r="17" spans="1:62" x14ac:dyDescent="0.25">
      <c r="A17" s="28"/>
      <c r="B17" s="29" t="s">
        <v>230</v>
      </c>
      <c r="C17" s="30"/>
      <c r="D17" s="387"/>
      <c r="E17" s="387"/>
      <c r="F17" s="387"/>
      <c r="G17" s="387"/>
      <c r="H17" s="1"/>
      <c r="I17" s="30" t="s">
        <v>231</v>
      </c>
      <c r="J17" s="96"/>
      <c r="K17" s="30" t="s">
        <v>232</v>
      </c>
      <c r="L17" s="385"/>
      <c r="M17" s="386"/>
      <c r="N17" s="98" t="str">
        <f>IF(OR(L17="",J17=""),"",J17-L17)</f>
        <v/>
      </c>
      <c r="O17" s="1" t="s">
        <v>220</v>
      </c>
      <c r="P17" s="1"/>
      <c r="Q17" s="1"/>
      <c r="R17" s="30" t="s">
        <v>233</v>
      </c>
      <c r="S17" s="94"/>
      <c r="T17" s="1"/>
      <c r="U17" s="95"/>
      <c r="V17" s="1"/>
      <c r="W17" s="1"/>
      <c r="X17" s="1">
        <v>5</v>
      </c>
      <c r="Y17" s="91"/>
      <c r="Z17" s="1"/>
      <c r="AA17" s="91"/>
      <c r="AB17" s="1"/>
      <c r="AC17" s="1"/>
      <c r="AD17" s="1"/>
      <c r="AE17" s="5"/>
      <c r="AF17" s="5"/>
      <c r="AG17" s="5"/>
      <c r="AH17" s="5" t="s">
        <v>74</v>
      </c>
      <c r="AI17" s="5" t="s">
        <v>234</v>
      </c>
      <c r="AJ17" s="74" t="s">
        <v>235</v>
      </c>
      <c r="AK17" s="70">
        <f>'All Details'!NM2</f>
        <v>0</v>
      </c>
      <c r="AL17" s="12"/>
      <c r="AM17" s="51">
        <v>194</v>
      </c>
      <c r="AN17" s="5"/>
      <c r="AO17" s="5"/>
      <c r="AP17" s="12" t="s">
        <v>236</v>
      </c>
      <c r="AQ17" s="12"/>
      <c r="AR17" s="5" t="s">
        <v>237</v>
      </c>
      <c r="AS17" s="52" t="s">
        <v>238</v>
      </c>
      <c r="AT17" s="64" t="s">
        <v>238</v>
      </c>
      <c r="AU17" s="54"/>
      <c r="AV17" s="12"/>
      <c r="AW17" s="12"/>
      <c r="AX17" s="55" t="s">
        <v>239</v>
      </c>
      <c r="AY17" s="65" t="s">
        <v>240</v>
      </c>
      <c r="AZ17" s="54" t="s">
        <v>241</v>
      </c>
      <c r="BA17" s="13" t="s">
        <v>58</v>
      </c>
      <c r="BB17" s="13"/>
      <c r="BC17" s="13"/>
      <c r="BD17" s="58"/>
      <c r="BE17" s="59"/>
      <c r="BF17" s="1"/>
      <c r="BI17" s="45" t="s">
        <v>242</v>
      </c>
      <c r="BJ17" s="46"/>
    </row>
    <row r="18" spans="1:62" x14ac:dyDescent="0.25">
      <c r="A18" s="28"/>
      <c r="B18" s="84"/>
      <c r="C18" s="84"/>
      <c r="D18" s="84"/>
      <c r="E18" s="84"/>
      <c r="F18" s="84"/>
      <c r="G18" s="84"/>
      <c r="H18" s="1"/>
      <c r="I18" s="30" t="s">
        <v>243</v>
      </c>
      <c r="J18" s="99"/>
      <c r="K18" s="1" t="s">
        <v>220</v>
      </c>
      <c r="L18" s="371" t="s">
        <v>244</v>
      </c>
      <c r="M18" s="372"/>
      <c r="N18" s="98" t="str">
        <f>IF(N17="","",SQRT(N16^2+N17^2))</f>
        <v/>
      </c>
      <c r="O18" s="1" t="s">
        <v>220</v>
      </c>
      <c r="P18" s="1"/>
      <c r="Q18" s="1"/>
      <c r="R18" s="1"/>
      <c r="S18" s="1"/>
      <c r="T18" s="1"/>
      <c r="U18" s="1"/>
      <c r="V18" s="1"/>
      <c r="W18" s="1"/>
      <c r="X18" s="1">
        <v>6</v>
      </c>
      <c r="Y18" s="91"/>
      <c r="Z18" s="1"/>
      <c r="AA18" s="91"/>
      <c r="AB18" s="1"/>
      <c r="AC18" s="1"/>
      <c r="AD18" s="1"/>
      <c r="AE18" s="5"/>
      <c r="AF18" s="5"/>
      <c r="AG18" s="5"/>
      <c r="AH18" s="5"/>
      <c r="AI18" s="5" t="s">
        <v>245</v>
      </c>
      <c r="AJ18" s="74" t="s">
        <v>246</v>
      </c>
      <c r="AK18" s="70">
        <f>'All Details'!PM2</f>
        <v>0</v>
      </c>
      <c r="AL18" s="12"/>
      <c r="AM18" s="51">
        <v>195</v>
      </c>
      <c r="AN18" s="5"/>
      <c r="AO18" s="5"/>
      <c r="AP18" s="12" t="s">
        <v>247</v>
      </c>
      <c r="AQ18" s="12"/>
      <c r="AR18" s="5" t="s">
        <v>248</v>
      </c>
      <c r="AS18" s="52" t="s">
        <v>249</v>
      </c>
      <c r="AT18" s="64" t="s">
        <v>249</v>
      </c>
      <c r="AU18" s="54"/>
      <c r="AV18" s="12"/>
      <c r="AW18" s="12"/>
      <c r="AX18" s="55" t="s">
        <v>250</v>
      </c>
      <c r="AY18" s="65" t="s">
        <v>251</v>
      </c>
      <c r="AZ18" s="54" t="s">
        <v>252</v>
      </c>
      <c r="BA18" s="13" t="s">
        <v>58</v>
      </c>
      <c r="BB18" s="13"/>
      <c r="BC18" s="13"/>
      <c r="BD18" s="58"/>
      <c r="BE18" s="59"/>
      <c r="BF18" s="1"/>
      <c r="BI18" s="45">
        <f>BI15</f>
        <v>0</v>
      </c>
      <c r="BJ18" s="46">
        <f>BJ15</f>
        <v>9</v>
      </c>
    </row>
    <row r="19" spans="1:62" ht="13" thickBot="1" x14ac:dyDescent="0.3">
      <c r="A19" s="28"/>
      <c r="B19" s="29" t="s">
        <v>25</v>
      </c>
      <c r="C19" s="30"/>
      <c r="D19" s="100" t="s">
        <v>77</v>
      </c>
      <c r="E19" s="1"/>
      <c r="F19" s="1"/>
      <c r="G19" s="1"/>
      <c r="H19" s="1"/>
      <c r="I19" s="30" t="s">
        <v>253</v>
      </c>
      <c r="J19" s="88"/>
      <c r="K19" s="1" t="s">
        <v>220</v>
      </c>
      <c r="L19" s="1"/>
      <c r="M19" s="1"/>
      <c r="N19" s="1"/>
      <c r="O19" s="1"/>
      <c r="P19" s="1"/>
      <c r="Q19" s="1"/>
      <c r="R19" s="30" t="s">
        <v>254</v>
      </c>
      <c r="S19" s="101"/>
      <c r="T19" s="1"/>
      <c r="U19" s="102"/>
      <c r="V19" s="1"/>
      <c r="W19" s="1"/>
      <c r="X19" s="1">
        <v>7</v>
      </c>
      <c r="Y19" s="91"/>
      <c r="Z19" s="1"/>
      <c r="AA19" s="91"/>
      <c r="AB19" s="1"/>
      <c r="AC19" s="68"/>
      <c r="AD19" s="1"/>
      <c r="AE19" s="103" t="s">
        <v>255</v>
      </c>
      <c r="AF19" s="5"/>
      <c r="AG19" s="104" t="s">
        <v>256</v>
      </c>
      <c r="AH19" s="5"/>
      <c r="AI19" s="12"/>
      <c r="AJ19" s="74" t="s">
        <v>257</v>
      </c>
      <c r="AK19" s="70">
        <f>'All Details'!LM2</f>
        <v>0</v>
      </c>
      <c r="AL19" s="12"/>
      <c r="AM19" s="51">
        <v>196</v>
      </c>
      <c r="AN19" s="5"/>
      <c r="AO19" s="5"/>
      <c r="AP19" s="12" t="s">
        <v>258</v>
      </c>
      <c r="AQ19" s="12"/>
      <c r="AR19" s="5" t="s">
        <v>259</v>
      </c>
      <c r="AS19" s="52" t="s">
        <v>260</v>
      </c>
      <c r="AT19" s="64" t="s">
        <v>260</v>
      </c>
      <c r="AU19" s="54"/>
      <c r="AV19" s="12"/>
      <c r="AW19" s="12"/>
      <c r="AX19" s="55" t="s">
        <v>261</v>
      </c>
      <c r="AY19" s="65" t="s">
        <v>262</v>
      </c>
      <c r="AZ19" s="54" t="s">
        <v>263</v>
      </c>
      <c r="BA19" s="13" t="s">
        <v>58</v>
      </c>
      <c r="BB19" s="13"/>
      <c r="BC19" s="13"/>
      <c r="BD19" s="58"/>
      <c r="BE19" s="59"/>
      <c r="BF19" s="1"/>
      <c r="BI19" s="105">
        <f>BI18+SIN(RADIANS(30- J13))*2</f>
        <v>0.99999999999999989</v>
      </c>
      <c r="BJ19" s="106">
        <f>BJ18-COS(RADIANS(30- J13))*2</f>
        <v>7.2679491924311224</v>
      </c>
    </row>
    <row r="20" spans="1:62" x14ac:dyDescent="0.25">
      <c r="A20" s="28"/>
      <c r="B20" s="29" t="s">
        <v>264</v>
      </c>
      <c r="C20" s="30"/>
      <c r="D20" s="107">
        <v>14</v>
      </c>
      <c r="E20" s="108" t="s">
        <v>49</v>
      </c>
      <c r="F20" s="1"/>
      <c r="G20" s="1"/>
      <c r="H20" s="1"/>
      <c r="I20" s="30" t="s">
        <v>265</v>
      </c>
      <c r="J20" s="88"/>
      <c r="K20" s="1" t="s">
        <v>220</v>
      </c>
      <c r="L20" s="1"/>
      <c r="M20" s="1"/>
      <c r="N20" s="1"/>
      <c r="O20" s="1"/>
      <c r="P20" s="1"/>
      <c r="Q20" s="1"/>
      <c r="R20" s="30" t="s">
        <v>266</v>
      </c>
      <c r="S20" s="90"/>
      <c r="T20" s="1" t="s">
        <v>267</v>
      </c>
      <c r="U20" s="1"/>
      <c r="V20" s="1"/>
      <c r="W20" s="1"/>
      <c r="X20" s="1">
        <v>8</v>
      </c>
      <c r="Y20" s="91"/>
      <c r="Z20" s="1"/>
      <c r="AA20" s="91"/>
      <c r="AB20" s="1"/>
      <c r="AC20" s="1"/>
      <c r="AD20" s="1"/>
      <c r="AE20" s="5" t="s">
        <v>268</v>
      </c>
      <c r="AF20" s="5"/>
      <c r="AG20" s="109" t="s">
        <v>269</v>
      </c>
      <c r="AH20" s="5"/>
      <c r="AI20" s="5"/>
      <c r="AJ20" s="49" t="s">
        <v>270</v>
      </c>
      <c r="AK20" s="70">
        <f>'All Details'!LZ2</f>
        <v>0</v>
      </c>
      <c r="AL20" s="5"/>
      <c r="AM20" s="51">
        <v>197</v>
      </c>
      <c r="AN20" s="5"/>
      <c r="AO20" s="5"/>
      <c r="AP20" s="12" t="s">
        <v>271</v>
      </c>
      <c r="AQ20" s="12"/>
      <c r="AR20" s="5" t="s">
        <v>272</v>
      </c>
      <c r="AS20" s="52" t="s">
        <v>273</v>
      </c>
      <c r="AT20" s="64" t="s">
        <v>274</v>
      </c>
      <c r="AU20" s="54"/>
      <c r="AV20" s="12"/>
      <c r="AW20" s="12"/>
      <c r="AX20" s="55" t="s">
        <v>275</v>
      </c>
      <c r="AY20" s="65" t="s">
        <v>276</v>
      </c>
      <c r="AZ20" s="54" t="s">
        <v>277</v>
      </c>
      <c r="BA20" s="13" t="s">
        <v>58</v>
      </c>
      <c r="BB20" s="13"/>
      <c r="BC20" s="13"/>
      <c r="BD20" s="58"/>
      <c r="BE20" s="59"/>
      <c r="BF20" s="1"/>
      <c r="BI20" s="15"/>
      <c r="BJ20" s="16"/>
    </row>
    <row r="21" spans="1:62" x14ac:dyDescent="0.25">
      <c r="A21" s="28"/>
      <c r="B21" s="29" t="s">
        <v>278</v>
      </c>
      <c r="C21" s="30"/>
      <c r="D21" s="107">
        <v>36</v>
      </c>
      <c r="E21" s="1" t="s">
        <v>220</v>
      </c>
      <c r="F21" s="1"/>
      <c r="G21" s="1"/>
      <c r="H21" s="1"/>
      <c r="I21" s="30" t="s">
        <v>279</v>
      </c>
      <c r="J21" s="110" t="s">
        <v>57</v>
      </c>
      <c r="K21" s="1" t="s">
        <v>280</v>
      </c>
      <c r="L21" s="1"/>
      <c r="M21" s="1"/>
      <c r="N21" s="1"/>
      <c r="O21" s="1"/>
      <c r="P21" s="1"/>
      <c r="Q21" s="1"/>
      <c r="R21" s="30" t="s">
        <v>281</v>
      </c>
      <c r="S21" s="111"/>
      <c r="T21" s="1" t="s">
        <v>282</v>
      </c>
      <c r="U21" s="1"/>
      <c r="V21" s="1"/>
      <c r="W21" s="1"/>
      <c r="X21" s="1">
        <v>9</v>
      </c>
      <c r="Y21" s="91"/>
      <c r="Z21" s="1"/>
      <c r="AA21" s="91"/>
      <c r="AB21" s="1"/>
      <c r="AC21" s="1"/>
      <c r="AD21" s="1"/>
      <c r="AE21" s="5" t="s">
        <v>283</v>
      </c>
      <c r="AF21" s="5"/>
      <c r="AG21" s="112" t="s">
        <v>284</v>
      </c>
      <c r="AH21" s="5"/>
      <c r="AI21" s="5"/>
      <c r="AJ21" s="74" t="s">
        <v>285</v>
      </c>
      <c r="AK21" s="70">
        <f>'All Details'!JZ2</f>
        <v>0</v>
      </c>
      <c r="AL21" s="12"/>
      <c r="AM21" s="51" t="s">
        <v>286</v>
      </c>
      <c r="AN21" s="5"/>
      <c r="AO21" s="5"/>
      <c r="AP21" s="12" t="s">
        <v>287</v>
      </c>
      <c r="AQ21" s="12"/>
      <c r="AR21" s="5" t="s">
        <v>288</v>
      </c>
      <c r="AS21" s="52" t="s">
        <v>289</v>
      </c>
      <c r="AT21" s="12" t="s">
        <v>289</v>
      </c>
      <c r="AU21" s="54"/>
      <c r="AV21" s="12"/>
      <c r="AW21" s="12"/>
      <c r="AX21" s="55" t="s">
        <v>290</v>
      </c>
      <c r="AY21" s="65" t="s">
        <v>291</v>
      </c>
      <c r="AZ21" s="54" t="s">
        <v>292</v>
      </c>
      <c r="BA21" s="13" t="s">
        <v>58</v>
      </c>
      <c r="BB21" s="13"/>
      <c r="BC21" s="13"/>
      <c r="BD21" s="58"/>
      <c r="BE21" s="59"/>
      <c r="BF21" s="1"/>
      <c r="BI21" s="15"/>
      <c r="BJ21" s="16"/>
    </row>
    <row r="22" spans="1:62" x14ac:dyDescent="0.25">
      <c r="A22" s="28"/>
      <c r="B22" s="29" t="s">
        <v>293</v>
      </c>
      <c r="C22" s="30"/>
      <c r="D22" s="107">
        <v>35.4</v>
      </c>
      <c r="E22" s="1" t="s">
        <v>220</v>
      </c>
      <c r="F22" s="1" t="str">
        <f>IF(D21&lt;(D22+3),"","LTD &gt;3m DTD Warning")</f>
        <v/>
      </c>
      <c r="G22" s="1"/>
      <c r="H22" s="1"/>
      <c r="I22" s="30" t="s">
        <v>294</v>
      </c>
      <c r="J22" s="110" t="s">
        <v>57</v>
      </c>
      <c r="K22" s="1" t="s">
        <v>220</v>
      </c>
      <c r="L22" s="1"/>
      <c r="M22" s="1"/>
      <c r="N22" s="1"/>
      <c r="O22" s="1"/>
      <c r="P22" s="1"/>
      <c r="Q22" s="1"/>
      <c r="R22" s="30" t="s">
        <v>295</v>
      </c>
      <c r="S22" s="113" t="s">
        <v>296</v>
      </c>
      <c r="T22" s="1" t="s">
        <v>220</v>
      </c>
      <c r="U22" s="1"/>
      <c r="V22" s="1"/>
      <c r="W22" s="1"/>
      <c r="X22" s="1">
        <v>10</v>
      </c>
      <c r="Y22" s="91"/>
      <c r="Z22" s="1"/>
      <c r="AA22" s="91"/>
      <c r="AB22" s="68"/>
      <c r="AC22" s="1"/>
      <c r="AD22" s="1"/>
      <c r="AE22" s="5" t="s">
        <v>297</v>
      </c>
      <c r="AF22" s="5"/>
      <c r="AG22" s="112" t="s">
        <v>298</v>
      </c>
      <c r="AH22" s="5"/>
      <c r="AI22" s="5"/>
      <c r="AJ22" s="49" t="s">
        <v>299</v>
      </c>
      <c r="AK22" s="70">
        <f>'All Details'!OZ2</f>
        <v>0</v>
      </c>
      <c r="AL22" s="5"/>
      <c r="AM22" s="51" t="s">
        <v>300</v>
      </c>
      <c r="AN22" s="5"/>
      <c r="AO22" s="5"/>
      <c r="AP22" s="12" t="s">
        <v>301</v>
      </c>
      <c r="AQ22" s="12"/>
      <c r="AR22" s="12" t="s">
        <v>302</v>
      </c>
      <c r="AS22" s="52" t="s">
        <v>303</v>
      </c>
      <c r="AT22" s="12" t="s">
        <v>304</v>
      </c>
      <c r="AU22" s="54"/>
      <c r="AV22" s="12"/>
      <c r="AW22" s="12"/>
      <c r="AX22" s="55" t="s">
        <v>305</v>
      </c>
      <c r="AY22" s="65" t="s">
        <v>306</v>
      </c>
      <c r="AZ22" s="54" t="s">
        <v>307</v>
      </c>
      <c r="BA22" s="13" t="s">
        <v>58</v>
      </c>
      <c r="BB22" s="13"/>
      <c r="BC22" s="13"/>
      <c r="BD22" s="58"/>
      <c r="BE22" s="59"/>
      <c r="BF22" s="1"/>
      <c r="BI22" s="15"/>
      <c r="BJ22" s="114"/>
    </row>
    <row r="23" spans="1:62" x14ac:dyDescent="0.25">
      <c r="A23" s="28"/>
      <c r="B23" s="29" t="s">
        <v>308</v>
      </c>
      <c r="C23" s="30"/>
      <c r="D23" s="115"/>
      <c r="E23" s="1" t="s">
        <v>220</v>
      </c>
      <c r="F23" s="1"/>
      <c r="G23" s="1"/>
      <c r="H23" s="1"/>
      <c r="I23" s="1"/>
      <c r="J23" s="1"/>
      <c r="K23" s="1"/>
      <c r="L23" s="1"/>
      <c r="M23" s="1"/>
      <c r="N23" s="1"/>
      <c r="O23" s="1"/>
      <c r="P23" s="1"/>
      <c r="Q23" s="1"/>
      <c r="R23" s="1"/>
      <c r="S23" s="1"/>
      <c r="T23" s="1"/>
      <c r="U23" s="1"/>
      <c r="V23" s="1"/>
      <c r="W23" s="1"/>
      <c r="X23" s="1">
        <v>11</v>
      </c>
      <c r="Y23" s="91"/>
      <c r="Z23" s="1"/>
      <c r="AA23" s="91"/>
      <c r="AB23" s="68"/>
      <c r="AC23" s="1"/>
      <c r="AD23" s="1"/>
      <c r="AE23" s="5" t="s">
        <v>5</v>
      </c>
      <c r="AF23" s="5"/>
      <c r="AG23" s="112" t="s">
        <v>309</v>
      </c>
      <c r="AH23" s="5"/>
      <c r="AI23" s="5"/>
      <c r="AJ23" s="74" t="s">
        <v>74</v>
      </c>
      <c r="AK23" s="70">
        <f>'All Details'!PZ2</f>
        <v>0</v>
      </c>
      <c r="AL23" s="5"/>
      <c r="AM23" s="51" t="s">
        <v>310</v>
      </c>
      <c r="AN23" s="5"/>
      <c r="AO23" s="5"/>
      <c r="AP23" s="12" t="s">
        <v>311</v>
      </c>
      <c r="AQ23" s="12"/>
      <c r="AR23" s="5" t="s">
        <v>312</v>
      </c>
      <c r="AS23" s="52" t="s">
        <v>313</v>
      </c>
      <c r="AT23" s="64" t="s">
        <v>313</v>
      </c>
      <c r="AU23" s="54"/>
      <c r="AV23" s="12"/>
      <c r="AW23" s="12"/>
      <c r="AX23" s="55" t="s">
        <v>314</v>
      </c>
      <c r="AY23" s="65" t="s">
        <v>315</v>
      </c>
      <c r="AZ23" s="54" t="s">
        <v>316</v>
      </c>
      <c r="BA23" s="13" t="s">
        <v>58</v>
      </c>
      <c r="BB23" s="13"/>
      <c r="BC23" s="13"/>
      <c r="BD23" s="58"/>
      <c r="BE23" s="59"/>
      <c r="BF23" s="1"/>
      <c r="BI23" s="114"/>
      <c r="BJ23" s="114"/>
    </row>
    <row r="24" spans="1:62" x14ac:dyDescent="0.25">
      <c r="A24" s="28"/>
      <c r="B24" s="29" t="s">
        <v>317</v>
      </c>
      <c r="C24" s="1"/>
      <c r="D24" s="115"/>
      <c r="E24" s="1" t="s">
        <v>220</v>
      </c>
      <c r="F24" s="1"/>
      <c r="G24" s="1"/>
      <c r="H24" s="1"/>
      <c r="I24" s="30" t="s">
        <v>318</v>
      </c>
      <c r="J24" s="99"/>
      <c r="K24" s="1" t="s">
        <v>220</v>
      </c>
      <c r="L24" s="1"/>
      <c r="M24" s="1"/>
      <c r="N24" s="1"/>
      <c r="O24" s="1"/>
      <c r="P24" s="1"/>
      <c r="Q24" s="1"/>
      <c r="R24" s="1"/>
      <c r="S24" s="1"/>
      <c r="T24" s="1"/>
      <c r="U24" s="1"/>
      <c r="V24" s="1"/>
      <c r="W24" s="1"/>
      <c r="X24" s="1">
        <v>12</v>
      </c>
      <c r="Y24" s="91"/>
      <c r="Z24" s="1"/>
      <c r="AA24" s="91"/>
      <c r="AB24" s="68"/>
      <c r="AC24" s="1"/>
      <c r="AD24" s="1"/>
      <c r="AE24" s="5"/>
      <c r="AF24" s="5"/>
      <c r="AG24" s="112" t="s">
        <v>319</v>
      </c>
      <c r="AH24" s="5"/>
      <c r="AI24" s="5"/>
      <c r="AJ24" s="74" t="s">
        <v>320</v>
      </c>
      <c r="AK24" s="70">
        <f>'All Details'!QM2</f>
        <v>0</v>
      </c>
      <c r="AL24" s="5"/>
      <c r="AM24" s="51" t="s">
        <v>321</v>
      </c>
      <c r="AN24" s="5"/>
      <c r="AO24" s="5"/>
      <c r="AP24" s="12" t="s">
        <v>322</v>
      </c>
      <c r="AQ24" s="12"/>
      <c r="AR24" s="5" t="s">
        <v>323</v>
      </c>
      <c r="AS24" s="52" t="s">
        <v>324</v>
      </c>
      <c r="AT24" s="64" t="s">
        <v>324</v>
      </c>
      <c r="AU24" s="54"/>
      <c r="AV24" s="12"/>
      <c r="AW24" s="12"/>
      <c r="AX24" s="55" t="s">
        <v>325</v>
      </c>
      <c r="AY24" s="65" t="s">
        <v>326</v>
      </c>
      <c r="AZ24" s="54" t="s">
        <v>327</v>
      </c>
      <c r="BA24" s="13" t="s">
        <v>58</v>
      </c>
      <c r="BB24" s="13"/>
      <c r="BC24" s="13"/>
      <c r="BD24" s="58"/>
      <c r="BE24" s="59"/>
      <c r="BF24" s="1"/>
      <c r="BI24" s="114"/>
      <c r="BJ24" s="114"/>
    </row>
    <row r="25" spans="1:62" x14ac:dyDescent="0.25">
      <c r="A25" s="28"/>
      <c r="B25" s="29" t="s">
        <v>328</v>
      </c>
      <c r="C25" s="30"/>
      <c r="D25" s="115"/>
      <c r="E25" s="108"/>
      <c r="F25" s="1"/>
      <c r="G25" s="1"/>
      <c r="H25" s="1"/>
      <c r="I25" s="30" t="s">
        <v>329</v>
      </c>
      <c r="J25" s="99"/>
      <c r="K25" s="1" t="s">
        <v>220</v>
      </c>
      <c r="L25" s="1"/>
      <c r="M25" s="1"/>
      <c r="N25" s="1"/>
      <c r="O25" s="1"/>
      <c r="P25" s="1"/>
      <c r="Q25" s="1"/>
      <c r="R25" s="30" t="s">
        <v>330</v>
      </c>
      <c r="S25" s="95"/>
      <c r="T25" s="1"/>
      <c r="U25" s="95"/>
      <c r="V25" s="1"/>
      <c r="W25" s="1"/>
      <c r="X25" s="1">
        <v>13</v>
      </c>
      <c r="Y25" s="91"/>
      <c r="Z25" s="1"/>
      <c r="AA25" s="91"/>
      <c r="AB25" s="68"/>
      <c r="AC25" s="68"/>
      <c r="AD25" s="1"/>
      <c r="AE25" s="5"/>
      <c r="AF25" s="5"/>
      <c r="AG25" s="112" t="s">
        <v>331</v>
      </c>
      <c r="AH25" s="5"/>
      <c r="AI25" s="5"/>
      <c r="AJ25" s="49" t="s">
        <v>332</v>
      </c>
      <c r="AK25" s="70">
        <f>'All Details'!QZ2</f>
        <v>0</v>
      </c>
      <c r="AL25" s="5"/>
      <c r="AM25" s="51">
        <v>2325</v>
      </c>
      <c r="AN25" s="5"/>
      <c r="AO25" s="5"/>
      <c r="AP25" s="12" t="s">
        <v>333</v>
      </c>
      <c r="AQ25" s="12"/>
      <c r="AR25" s="5" t="s">
        <v>334</v>
      </c>
      <c r="AS25" s="52" t="s">
        <v>335</v>
      </c>
      <c r="AT25" s="64" t="s">
        <v>336</v>
      </c>
      <c r="AU25" s="54"/>
      <c r="AV25" s="12"/>
      <c r="AW25" s="12"/>
      <c r="AX25" s="55" t="s">
        <v>337</v>
      </c>
      <c r="AY25" s="65" t="s">
        <v>338</v>
      </c>
      <c r="AZ25" s="54" t="s">
        <v>339</v>
      </c>
      <c r="BA25" s="13" t="s">
        <v>58</v>
      </c>
      <c r="BB25" s="13"/>
      <c r="BC25" s="13"/>
      <c r="BD25" s="58"/>
      <c r="BE25" s="59"/>
      <c r="BF25" s="1"/>
      <c r="BI25" s="114"/>
      <c r="BJ25" s="114"/>
    </row>
    <row r="26" spans="1:62" x14ac:dyDescent="0.25">
      <c r="A26" s="28"/>
      <c r="B26" s="29" t="s">
        <v>340</v>
      </c>
      <c r="C26" s="30"/>
      <c r="D26" s="115"/>
      <c r="E26" s="108"/>
      <c r="F26" s="1"/>
      <c r="G26" s="1"/>
      <c r="H26" s="1"/>
      <c r="I26" s="1"/>
      <c r="J26" s="1"/>
      <c r="K26" s="1"/>
      <c r="L26" s="1"/>
      <c r="M26" s="1"/>
      <c r="N26" s="1"/>
      <c r="O26" s="1"/>
      <c r="P26" s="1"/>
      <c r="Q26" s="1"/>
      <c r="R26" s="1"/>
      <c r="S26" s="1"/>
      <c r="T26" s="1"/>
      <c r="U26" s="1"/>
      <c r="V26" s="1"/>
      <c r="W26" s="1"/>
      <c r="X26" s="1">
        <v>14</v>
      </c>
      <c r="Y26" s="91"/>
      <c r="Z26" s="1"/>
      <c r="AA26" s="91"/>
      <c r="AB26" s="68"/>
      <c r="AC26" s="68"/>
      <c r="AD26" s="1"/>
      <c r="AE26" s="5"/>
      <c r="AF26" s="5"/>
      <c r="AG26" s="112" t="s">
        <v>341</v>
      </c>
      <c r="AH26" s="5"/>
      <c r="AI26" s="5"/>
      <c r="AJ26" s="74" t="s">
        <v>342</v>
      </c>
      <c r="AK26" s="70">
        <f>'All Details'!RM2</f>
        <v>0</v>
      </c>
      <c r="AL26" s="5"/>
      <c r="AM26" s="51" t="s">
        <v>343</v>
      </c>
      <c r="AN26" s="5"/>
      <c r="AO26" s="5"/>
      <c r="AP26" s="12" t="s">
        <v>344</v>
      </c>
      <c r="AQ26" s="12"/>
      <c r="AR26" s="5" t="s">
        <v>345</v>
      </c>
      <c r="AS26" s="52" t="s">
        <v>346</v>
      </c>
      <c r="AT26" s="64" t="s">
        <v>336</v>
      </c>
      <c r="AU26" s="54"/>
      <c r="AV26" s="12"/>
      <c r="AW26" s="12"/>
      <c r="AX26" s="55"/>
      <c r="AY26" s="65" t="s">
        <v>347</v>
      </c>
      <c r="AZ26" s="54" t="s">
        <v>348</v>
      </c>
      <c r="BA26" s="13" t="s">
        <v>58</v>
      </c>
      <c r="BB26" s="13"/>
      <c r="BC26" s="13"/>
      <c r="BD26" s="58"/>
      <c r="BE26" s="59"/>
      <c r="BF26" s="1"/>
      <c r="BI26" s="114"/>
      <c r="BJ26" s="114"/>
    </row>
    <row r="27" spans="1:62" x14ac:dyDescent="0.25">
      <c r="A27" s="28"/>
      <c r="B27" s="29" t="s">
        <v>349</v>
      </c>
      <c r="C27" s="30"/>
      <c r="D27" s="115"/>
      <c r="E27" s="108"/>
      <c r="F27" s="1"/>
      <c r="G27" s="1"/>
      <c r="H27" s="1"/>
      <c r="I27" s="30" t="s">
        <v>350</v>
      </c>
      <c r="J27" s="110" t="s">
        <v>56</v>
      </c>
      <c r="K27" s="1"/>
      <c r="L27" s="1"/>
      <c r="M27" s="1"/>
      <c r="N27" s="1"/>
      <c r="O27" s="1"/>
      <c r="P27" s="1"/>
      <c r="Q27" s="1"/>
      <c r="R27" s="1"/>
      <c r="S27" s="1"/>
      <c r="T27" s="1"/>
      <c r="U27" s="1"/>
      <c r="V27" s="1"/>
      <c r="W27" s="1"/>
      <c r="X27" s="1">
        <v>15</v>
      </c>
      <c r="Y27" s="91"/>
      <c r="Z27" s="1"/>
      <c r="AA27" s="91"/>
      <c r="AB27" s="1"/>
      <c r="AC27" s="68"/>
      <c r="AD27" s="1"/>
      <c r="AE27" s="103" t="s">
        <v>19</v>
      </c>
      <c r="AF27" s="5"/>
      <c r="AG27" s="112" t="s">
        <v>351</v>
      </c>
      <c r="AH27" s="5"/>
      <c r="AI27" s="5"/>
      <c r="AJ27" s="49" t="s">
        <v>352</v>
      </c>
      <c r="AK27" s="70">
        <f>'All Details'!NZ2</f>
        <v>0</v>
      </c>
      <c r="AL27" s="5"/>
      <c r="AM27" s="51" t="s">
        <v>353</v>
      </c>
      <c r="AN27" s="5"/>
      <c r="AO27" s="5"/>
      <c r="AP27" s="12" t="s">
        <v>354</v>
      </c>
      <c r="AQ27" s="12"/>
      <c r="AR27" s="12"/>
      <c r="AS27" s="52" t="s">
        <v>355</v>
      </c>
      <c r="AT27" s="64" t="s">
        <v>336</v>
      </c>
      <c r="AU27" s="54"/>
      <c r="AV27" s="12"/>
      <c r="AW27" s="12"/>
      <c r="AX27" s="55" t="s">
        <v>356</v>
      </c>
      <c r="AY27" s="65" t="s">
        <v>357</v>
      </c>
      <c r="AZ27" s="54" t="s">
        <v>358</v>
      </c>
      <c r="BA27" s="13" t="s">
        <v>58</v>
      </c>
      <c r="BB27" s="13"/>
      <c r="BC27" s="13"/>
      <c r="BD27" s="58"/>
      <c r="BE27" s="59"/>
      <c r="BF27" s="1"/>
      <c r="BI27" s="114"/>
      <c r="BJ27" s="114"/>
    </row>
    <row r="28" spans="1:62" ht="13" thickBot="1" x14ac:dyDescent="0.3">
      <c r="A28" s="28"/>
      <c r="B28" s="29" t="s">
        <v>359</v>
      </c>
      <c r="C28" s="30"/>
      <c r="D28" s="96" t="s">
        <v>195</v>
      </c>
      <c r="E28" s="1"/>
      <c r="F28" s="1"/>
      <c r="G28" s="1"/>
      <c r="H28" s="1"/>
      <c r="I28" s="30" t="s">
        <v>360</v>
      </c>
      <c r="J28" s="110" t="s">
        <v>54</v>
      </c>
      <c r="K28" s="1"/>
      <c r="L28" s="1"/>
      <c r="M28" s="1"/>
      <c r="N28" s="1"/>
      <c r="O28" s="1"/>
      <c r="P28" s="1"/>
      <c r="Q28" s="1"/>
      <c r="R28" s="30" t="s">
        <v>361</v>
      </c>
      <c r="S28" s="116"/>
      <c r="T28" s="1"/>
      <c r="U28" s="95"/>
      <c r="V28" s="1"/>
      <c r="W28" s="1"/>
      <c r="X28" s="1"/>
      <c r="Y28" s="1"/>
      <c r="Z28" s="1"/>
      <c r="AA28" s="1"/>
      <c r="AB28" s="1"/>
      <c r="AC28" s="1"/>
      <c r="AD28" s="1"/>
      <c r="AE28" s="5">
        <v>1</v>
      </c>
      <c r="AF28" s="5"/>
      <c r="AG28" s="112" t="s">
        <v>362</v>
      </c>
      <c r="AH28" s="5"/>
      <c r="AI28" s="5"/>
      <c r="AJ28" s="117" t="s">
        <v>363</v>
      </c>
      <c r="AK28" s="70">
        <f>'All Details'!OM2</f>
        <v>0</v>
      </c>
      <c r="AL28" s="5"/>
      <c r="AM28" s="51" t="s">
        <v>364</v>
      </c>
      <c r="AN28" s="5"/>
      <c r="AO28" s="5"/>
      <c r="AP28" s="12" t="s">
        <v>365</v>
      </c>
      <c r="AQ28" s="12"/>
      <c r="AR28" s="12"/>
      <c r="AS28" s="52" t="s">
        <v>366</v>
      </c>
      <c r="AT28" s="64" t="s">
        <v>336</v>
      </c>
      <c r="AU28" s="54"/>
      <c r="AV28" s="12"/>
      <c r="AW28" s="12"/>
      <c r="AX28" s="55" t="s">
        <v>367</v>
      </c>
      <c r="AY28" s="65" t="s">
        <v>368</v>
      </c>
      <c r="AZ28" s="54" t="s">
        <v>369</v>
      </c>
      <c r="BA28" s="13" t="s">
        <v>58</v>
      </c>
      <c r="BB28" s="13"/>
      <c r="BC28" s="13"/>
      <c r="BD28" s="58"/>
      <c r="BE28" s="59"/>
      <c r="BF28" s="1"/>
      <c r="BI28" s="114"/>
      <c r="BJ28" s="114"/>
    </row>
    <row r="29" spans="1:62" x14ac:dyDescent="0.25">
      <c r="A29" s="28"/>
      <c r="B29" s="1" t="s">
        <v>370</v>
      </c>
      <c r="C29" s="1"/>
      <c r="D29" s="118"/>
      <c r="E29" s="1" t="s">
        <v>64</v>
      </c>
      <c r="F29" s="1"/>
      <c r="G29" s="1"/>
      <c r="H29" s="1"/>
      <c r="I29" s="1"/>
      <c r="J29" s="1"/>
      <c r="K29" s="1"/>
      <c r="L29" s="1"/>
      <c r="M29" s="1"/>
      <c r="N29" s="1"/>
      <c r="O29" s="1"/>
      <c r="P29" s="1"/>
      <c r="Q29" s="1"/>
      <c r="R29" s="1"/>
      <c r="S29" s="1"/>
      <c r="T29" s="1"/>
      <c r="U29" s="1"/>
      <c r="V29" s="1"/>
      <c r="W29" s="1"/>
      <c r="X29" s="1"/>
      <c r="Y29" s="1"/>
      <c r="Z29" s="1"/>
      <c r="AA29" s="1"/>
      <c r="AB29" s="1"/>
      <c r="AC29" s="1"/>
      <c r="AD29" s="1"/>
      <c r="AE29" s="5">
        <v>10</v>
      </c>
      <c r="AF29" s="5"/>
      <c r="AG29" s="112" t="s">
        <v>371</v>
      </c>
      <c r="AH29" s="5"/>
      <c r="AI29" s="5"/>
      <c r="AJ29" s="74" t="s">
        <v>372</v>
      </c>
      <c r="AK29" s="70">
        <f>'All Details'!RZ2</f>
        <v>0</v>
      </c>
      <c r="AL29" s="5"/>
      <c r="AM29" s="51" t="s">
        <v>373</v>
      </c>
      <c r="AN29" s="5"/>
      <c r="AO29" s="5"/>
      <c r="AP29" s="12" t="s">
        <v>374</v>
      </c>
      <c r="AQ29" s="12"/>
      <c r="AR29" s="12"/>
      <c r="AS29" s="65" t="s">
        <v>375</v>
      </c>
      <c r="AT29" s="12" t="s">
        <v>376</v>
      </c>
      <c r="AU29" s="54"/>
      <c r="AV29" s="12"/>
      <c r="AW29" s="12"/>
      <c r="AX29" s="55" t="s">
        <v>377</v>
      </c>
      <c r="AY29" s="65" t="s">
        <v>378</v>
      </c>
      <c r="AZ29" s="54" t="s">
        <v>379</v>
      </c>
      <c r="BA29" s="13" t="s">
        <v>58</v>
      </c>
      <c r="BB29" s="13"/>
      <c r="BC29" s="13"/>
      <c r="BD29" s="58"/>
      <c r="BE29" s="59"/>
      <c r="BF29" s="1"/>
      <c r="BI29" s="114"/>
      <c r="BJ29" s="114"/>
    </row>
    <row r="30" spans="1:62" x14ac:dyDescent="0.25">
      <c r="A30" s="1"/>
      <c r="B30" s="1"/>
      <c r="C30" s="1"/>
      <c r="D30" s="1"/>
      <c r="E30" s="1"/>
      <c r="F30" s="1" t="s">
        <v>380</v>
      </c>
      <c r="G30" s="1"/>
      <c r="H30" s="1"/>
      <c r="I30" s="1"/>
      <c r="J30" s="1"/>
      <c r="K30" s="1"/>
      <c r="L30" s="1"/>
      <c r="M30" s="1"/>
      <c r="N30" s="1"/>
      <c r="O30" s="1"/>
      <c r="P30" s="1"/>
      <c r="Q30" s="119"/>
      <c r="R30" s="120"/>
      <c r="S30" s="120"/>
      <c r="T30" s="120"/>
      <c r="U30" s="120" t="s">
        <v>381</v>
      </c>
      <c r="V30" s="120"/>
      <c r="W30" s="120"/>
      <c r="X30" s="120"/>
      <c r="Y30" s="120"/>
      <c r="Z30" s="121"/>
      <c r="AA30" s="122"/>
      <c r="AB30" s="123"/>
      <c r="AC30" s="68"/>
      <c r="AD30" s="1"/>
      <c r="AE30" s="5">
        <v>50</v>
      </c>
      <c r="AF30" s="5"/>
      <c r="AG30" s="112" t="s">
        <v>382</v>
      </c>
      <c r="AH30" s="5"/>
      <c r="AI30" s="5"/>
      <c r="AJ30" s="74" t="s">
        <v>383</v>
      </c>
      <c r="AK30" s="70">
        <f>'All Details'!SM2</f>
        <v>0</v>
      </c>
      <c r="AL30" s="5"/>
      <c r="AM30" s="51" t="s">
        <v>384</v>
      </c>
      <c r="AN30" s="5"/>
      <c r="AO30" s="5"/>
      <c r="AP30" s="12" t="s">
        <v>385</v>
      </c>
      <c r="AQ30" s="12"/>
      <c r="AR30" s="12"/>
      <c r="AS30" s="65" t="s">
        <v>386</v>
      </c>
      <c r="AT30" s="12" t="s">
        <v>387</v>
      </c>
      <c r="AU30" s="54"/>
      <c r="AV30" s="12"/>
      <c r="AW30" s="12"/>
      <c r="AX30" s="55" t="s">
        <v>388</v>
      </c>
      <c r="AY30" s="65" t="s">
        <v>389</v>
      </c>
      <c r="AZ30" s="54" t="s">
        <v>390</v>
      </c>
      <c r="BA30" s="13" t="s">
        <v>58</v>
      </c>
      <c r="BB30" s="13"/>
      <c r="BC30" s="13"/>
      <c r="BD30" s="58"/>
      <c r="BE30" s="59"/>
      <c r="BF30" s="1"/>
      <c r="BI30" s="114"/>
      <c r="BJ30" s="114"/>
    </row>
    <row r="31" spans="1:62" x14ac:dyDescent="0.25">
      <c r="A31" s="28"/>
      <c r="B31" s="1"/>
      <c r="C31" s="1"/>
      <c r="D31" s="1"/>
      <c r="E31" s="1"/>
      <c r="F31" s="1" t="s">
        <v>391</v>
      </c>
      <c r="G31" s="1"/>
      <c r="H31" s="1"/>
      <c r="I31" s="1"/>
      <c r="J31" s="1"/>
      <c r="K31" s="1"/>
      <c r="L31" s="1"/>
      <c r="M31" s="1"/>
      <c r="N31" s="1"/>
      <c r="O31" s="1"/>
      <c r="P31" s="124"/>
      <c r="Q31" s="373" t="s">
        <v>392</v>
      </c>
      <c r="R31" s="373"/>
      <c r="S31" s="373"/>
      <c r="T31" s="126"/>
      <c r="U31" s="373" t="s">
        <v>393</v>
      </c>
      <c r="V31" s="373"/>
      <c r="W31" s="373"/>
      <c r="X31" s="126"/>
      <c r="Y31" s="125" t="s">
        <v>394</v>
      </c>
      <c r="Z31" s="126"/>
      <c r="AA31" s="127" t="s">
        <v>395</v>
      </c>
      <c r="AB31" s="128"/>
      <c r="AC31" s="68"/>
      <c r="AD31" s="1"/>
      <c r="AE31" s="5">
        <v>100</v>
      </c>
      <c r="AF31" s="5"/>
      <c r="AG31" s="112" t="s">
        <v>396</v>
      </c>
      <c r="AH31" s="5"/>
      <c r="AI31" s="5"/>
      <c r="AJ31" s="74" t="s">
        <v>74</v>
      </c>
      <c r="AK31" s="70">
        <v>0</v>
      </c>
      <c r="AL31" s="5"/>
      <c r="AM31" s="51" t="s">
        <v>397</v>
      </c>
      <c r="AN31" s="5"/>
      <c r="AO31" s="5"/>
      <c r="AP31" s="12" t="s">
        <v>398</v>
      </c>
      <c r="AQ31" s="12"/>
      <c r="AR31" s="12"/>
      <c r="AS31" s="65" t="s">
        <v>399</v>
      </c>
      <c r="AT31" s="12" t="s">
        <v>400</v>
      </c>
      <c r="AU31" s="54"/>
      <c r="AV31" s="12"/>
      <c r="AW31" s="12"/>
      <c r="AX31" s="55" t="s">
        <v>401</v>
      </c>
      <c r="AY31" s="65" t="s">
        <v>402</v>
      </c>
      <c r="AZ31" s="54" t="s">
        <v>403</v>
      </c>
      <c r="BA31" s="13" t="s">
        <v>58</v>
      </c>
      <c r="BB31" s="13"/>
      <c r="BC31" s="13"/>
      <c r="BD31" s="58"/>
      <c r="BE31" s="59"/>
      <c r="BF31" s="1"/>
      <c r="BI31" s="114"/>
      <c r="BJ31" s="114"/>
    </row>
    <row r="32" spans="1:62" x14ac:dyDescent="0.25">
      <c r="A32" s="28"/>
      <c r="B32" s="129" t="s">
        <v>404</v>
      </c>
      <c r="C32" s="130"/>
      <c r="D32" s="131"/>
      <c r="E32" s="132" t="s">
        <v>280</v>
      </c>
      <c r="F32" s="132" t="s">
        <v>404</v>
      </c>
      <c r="G32" s="129"/>
      <c r="H32" s="132" t="s">
        <v>405</v>
      </c>
      <c r="I32" s="132" t="s">
        <v>406</v>
      </c>
      <c r="J32" s="130"/>
      <c r="K32" s="131"/>
      <c r="L32" s="129" t="s">
        <v>407</v>
      </c>
      <c r="M32" s="130" t="s">
        <v>280</v>
      </c>
      <c r="N32" s="130" t="s">
        <v>407</v>
      </c>
      <c r="O32" s="133"/>
      <c r="P32" s="134"/>
      <c r="Q32" s="135" t="s">
        <v>408</v>
      </c>
      <c r="R32" s="1"/>
      <c r="S32" s="69" t="s">
        <v>409</v>
      </c>
      <c r="T32" s="126"/>
      <c r="U32" s="125" t="s">
        <v>408</v>
      </c>
      <c r="V32" s="1"/>
      <c r="W32" s="69" t="s">
        <v>409</v>
      </c>
      <c r="X32" s="126"/>
      <c r="Y32" s="125" t="s">
        <v>410</v>
      </c>
      <c r="Z32" s="126"/>
      <c r="AA32" s="127" t="s">
        <v>411</v>
      </c>
      <c r="AB32" s="128"/>
      <c r="AC32" s="68"/>
      <c r="AD32" s="1"/>
      <c r="AE32" s="5"/>
      <c r="AF32" s="5"/>
      <c r="AG32" s="112" t="s">
        <v>412</v>
      </c>
      <c r="AH32" s="5"/>
      <c r="AI32" s="5"/>
      <c r="AJ32" s="5"/>
      <c r="AK32" s="5"/>
      <c r="AL32" s="5"/>
      <c r="AM32" s="51" t="s">
        <v>413</v>
      </c>
      <c r="AN32" s="5"/>
      <c r="AO32" s="5"/>
      <c r="AP32" s="12" t="s">
        <v>414</v>
      </c>
      <c r="AQ32" s="12"/>
      <c r="AR32" s="12"/>
      <c r="AS32" s="65" t="s">
        <v>415</v>
      </c>
      <c r="AT32" s="12" t="s">
        <v>226</v>
      </c>
      <c r="AU32" s="54"/>
      <c r="AV32" s="12"/>
      <c r="AW32" s="12"/>
      <c r="AX32" s="55" t="s">
        <v>416</v>
      </c>
      <c r="AY32" s="65" t="s">
        <v>417</v>
      </c>
      <c r="AZ32" s="54" t="s">
        <v>418</v>
      </c>
      <c r="BA32" s="13" t="s">
        <v>58</v>
      </c>
      <c r="BB32" s="13"/>
      <c r="BC32" s="13"/>
      <c r="BD32" s="58"/>
      <c r="BE32" s="59"/>
      <c r="BF32" s="1"/>
      <c r="BI32" s="114"/>
      <c r="BJ32" s="114"/>
    </row>
    <row r="33" spans="1:62" x14ac:dyDescent="0.25">
      <c r="A33" s="28"/>
      <c r="B33" s="125" t="s">
        <v>419</v>
      </c>
      <c r="C33" s="69" t="s">
        <v>420</v>
      </c>
      <c r="D33" s="136" t="s">
        <v>421</v>
      </c>
      <c r="E33" s="136" t="s">
        <v>422</v>
      </c>
      <c r="F33" s="137" t="s">
        <v>423</v>
      </c>
      <c r="G33" s="138" t="s">
        <v>424</v>
      </c>
      <c r="H33" s="139" t="s">
        <v>425</v>
      </c>
      <c r="I33" s="139" t="s">
        <v>426</v>
      </c>
      <c r="J33" s="140" t="s">
        <v>427</v>
      </c>
      <c r="K33" s="140" t="s">
        <v>428</v>
      </c>
      <c r="L33" s="125" t="s">
        <v>160</v>
      </c>
      <c r="M33" s="1" t="s">
        <v>280</v>
      </c>
      <c r="N33" s="69" t="s">
        <v>161</v>
      </c>
      <c r="O33" s="1" t="s">
        <v>280</v>
      </c>
      <c r="P33" s="137" t="s">
        <v>429</v>
      </c>
      <c r="Q33" s="138" t="s">
        <v>430</v>
      </c>
      <c r="R33" s="140" t="s">
        <v>280</v>
      </c>
      <c r="S33" s="141" t="s">
        <v>407</v>
      </c>
      <c r="T33" s="142" t="s">
        <v>280</v>
      </c>
      <c r="U33" s="138" t="s">
        <v>430</v>
      </c>
      <c r="V33" s="140"/>
      <c r="W33" s="141" t="s">
        <v>407</v>
      </c>
      <c r="X33" s="142" t="s">
        <v>280</v>
      </c>
      <c r="Y33" s="138" t="s">
        <v>431</v>
      </c>
      <c r="Z33" s="142" t="s">
        <v>280</v>
      </c>
      <c r="AA33" s="127" t="s">
        <v>432</v>
      </c>
      <c r="AB33" s="128"/>
      <c r="AC33" s="68"/>
      <c r="AD33" s="1"/>
      <c r="AE33" s="5"/>
      <c r="AF33" s="5"/>
      <c r="AG33" s="112" t="s">
        <v>433</v>
      </c>
      <c r="AH33" s="5"/>
      <c r="AI33" s="5"/>
      <c r="AJ33" s="5"/>
      <c r="AK33" s="5"/>
      <c r="AL33" s="5"/>
      <c r="AM33" s="51" t="s">
        <v>434</v>
      </c>
      <c r="AN33" s="5"/>
      <c r="AO33" s="5"/>
      <c r="AP33" s="12" t="s">
        <v>435</v>
      </c>
      <c r="AQ33" s="12"/>
      <c r="AR33" s="12"/>
      <c r="AS33" s="52" t="s">
        <v>436</v>
      </c>
      <c r="AT33" s="64" t="s">
        <v>437</v>
      </c>
      <c r="AU33" s="54"/>
      <c r="AV33" s="12"/>
      <c r="AW33" s="12"/>
      <c r="AX33" s="55" t="s">
        <v>438</v>
      </c>
      <c r="AY33" s="65" t="s">
        <v>439</v>
      </c>
      <c r="AZ33" s="54" t="s">
        <v>440</v>
      </c>
      <c r="BA33" s="13" t="s">
        <v>58</v>
      </c>
      <c r="BB33" s="13"/>
      <c r="BC33" s="13"/>
      <c r="BD33" s="58"/>
      <c r="BE33" s="59"/>
      <c r="BF33" s="1"/>
      <c r="BI33" s="114"/>
      <c r="BJ33" s="114"/>
    </row>
    <row r="34" spans="1:62" x14ac:dyDescent="0.25">
      <c r="A34" s="28"/>
      <c r="B34" s="143" t="s">
        <v>78</v>
      </c>
      <c r="C34" s="144">
        <f t="shared" ref="C34:C44" si="0">IF(ISNA(VLOOKUP(B34,$S$59:$AB$70,3,0)),"",(VLOOKUP(B34,$S$59:$AB$70,3,0)))</f>
        <v>0</v>
      </c>
      <c r="D34" s="144" t="str">
        <f t="shared" ref="D34:D44" si="1">IF(B34="","",IF(ISBLANK(VLOOKUP(B34,$S$59:$AB$70,5,0)),"",(VLOOKUP(B34,$S$59:$AB$70,5,0))))</f>
        <v>-</v>
      </c>
      <c r="E34" s="97" t="s">
        <v>181</v>
      </c>
      <c r="F34" s="145" t="s">
        <v>232</v>
      </c>
      <c r="G34" s="146">
        <v>46102</v>
      </c>
      <c r="H34" s="147" t="s">
        <v>441</v>
      </c>
      <c r="I34" s="148">
        <f>IF(ISNA(VLOOKUP(B34,$S$59:$AB$70,7,0)),"",(VLOOKUP(B34,$S$59:$AB$70,7,0)))</f>
        <v>2107</v>
      </c>
      <c r="J34" s="149">
        <v>0.4375</v>
      </c>
      <c r="K34" s="150">
        <v>0.45833333333333331</v>
      </c>
      <c r="L34" s="151">
        <v>0</v>
      </c>
      <c r="M34" s="1"/>
      <c r="N34" s="107">
        <v>35.4</v>
      </c>
      <c r="O34" s="1"/>
      <c r="P34" s="115">
        <v>0</v>
      </c>
      <c r="Q34" s="152">
        <v>0</v>
      </c>
      <c r="R34" s="1" t="s">
        <v>220</v>
      </c>
      <c r="S34" s="153">
        <f>IF(B34="-","",-Q34-P34)</f>
        <v>0</v>
      </c>
      <c r="T34" s="1" t="s">
        <v>220</v>
      </c>
      <c r="U34" s="152">
        <v>0</v>
      </c>
      <c r="V34" s="1"/>
      <c r="W34" s="152">
        <v>0</v>
      </c>
      <c r="X34" s="1" t="s">
        <v>220</v>
      </c>
      <c r="Y34" s="153">
        <f>IF($S$4=1,IF(B34="-",0,TRUNC(-(W34+U34+P34),2)),IF(B34="-",0,ROUND(-(W34+U34+P34),1)))</f>
        <v>0</v>
      </c>
      <c r="Z34" s="126" t="s">
        <v>220</v>
      </c>
      <c r="AA34" s="154">
        <f t="shared" ref="AA34:AA35" si="2">IF(B34="","",VLOOKUP(B34,$AJ$7:$AK$31,2,FALSE))</f>
        <v>0</v>
      </c>
      <c r="AB34" s="126" t="s">
        <v>220</v>
      </c>
      <c r="AC34" s="68"/>
      <c r="AD34" s="1"/>
      <c r="AE34" s="5"/>
      <c r="AF34" s="5"/>
      <c r="AG34" s="112" t="s">
        <v>442</v>
      </c>
      <c r="AH34" s="5"/>
      <c r="AI34" s="5"/>
      <c r="AJ34" s="5"/>
      <c r="AK34" s="5"/>
      <c r="AL34" s="5"/>
      <c r="AM34" s="51" t="s">
        <v>443</v>
      </c>
      <c r="AN34" s="5"/>
      <c r="AO34" s="5"/>
      <c r="AP34" s="12" t="s">
        <v>444</v>
      </c>
      <c r="AQ34" s="12"/>
      <c r="AR34" s="12"/>
      <c r="AS34" s="52" t="s">
        <v>445</v>
      </c>
      <c r="AT34" s="64" t="s">
        <v>445</v>
      </c>
      <c r="AU34" s="54"/>
      <c r="AV34" s="12"/>
      <c r="AW34" s="12"/>
      <c r="AX34" s="55" t="s">
        <v>446</v>
      </c>
      <c r="AY34" s="65" t="s">
        <v>447</v>
      </c>
      <c r="AZ34" s="54" t="s">
        <v>448</v>
      </c>
      <c r="BA34" s="13" t="s">
        <v>58</v>
      </c>
      <c r="BB34" s="13"/>
      <c r="BC34" s="13"/>
      <c r="BD34" s="58"/>
      <c r="BE34" s="59"/>
      <c r="BF34" s="1"/>
      <c r="BI34" s="114"/>
      <c r="BJ34" s="114"/>
    </row>
    <row r="35" spans="1:62" x14ac:dyDescent="0.25">
      <c r="A35" s="28"/>
      <c r="B35" s="143">
        <v>9622</v>
      </c>
      <c r="C35" s="144">
        <f t="shared" si="0"/>
        <v>4364</v>
      </c>
      <c r="D35" s="144" t="str">
        <f t="shared" si="1"/>
        <v>-</v>
      </c>
      <c r="E35" s="97" t="s">
        <v>181</v>
      </c>
      <c r="F35" s="145" t="s">
        <v>232</v>
      </c>
      <c r="G35" s="146">
        <v>46102</v>
      </c>
      <c r="H35" s="147" t="s">
        <v>441</v>
      </c>
      <c r="I35" s="148">
        <f t="shared" ref="I35:I44" si="3">IF(ISNA(VLOOKUP(B35,$S$59:$AB$70,7,0)),"",(VLOOKUP(B35,$S$59:$AB$70,7,0)))</f>
        <v>2107</v>
      </c>
      <c r="J35" s="155">
        <v>0.45833333333333331</v>
      </c>
      <c r="K35" s="155">
        <v>0.47916666666666669</v>
      </c>
      <c r="L35" s="151">
        <v>0</v>
      </c>
      <c r="M35" s="1"/>
      <c r="N35" s="107">
        <v>35.4</v>
      </c>
      <c r="O35" s="1"/>
      <c r="P35" s="115">
        <v>0</v>
      </c>
      <c r="Q35" s="152">
        <v>0</v>
      </c>
      <c r="R35" s="1" t="s">
        <v>220</v>
      </c>
      <c r="S35" s="153">
        <f t="shared" ref="S35:S43" si="4">IF(B35="-","",-Q35-P35)</f>
        <v>0</v>
      </c>
      <c r="T35" s="1" t="s">
        <v>220</v>
      </c>
      <c r="U35" s="152">
        <v>0</v>
      </c>
      <c r="V35" s="1"/>
      <c r="W35" s="152">
        <v>0</v>
      </c>
      <c r="X35" s="1" t="s">
        <v>220</v>
      </c>
      <c r="Y35" s="153">
        <f t="shared" ref="Y35:Y44" si="5">IF($S$4=1,IF(B35="-",0,TRUNC(-(W35+U35+P35),2)),IF(B35="-",0,ROUND(-(W35+U35+P35),1)))</f>
        <v>0</v>
      </c>
      <c r="Z35" s="126" t="s">
        <v>220</v>
      </c>
      <c r="AA35" s="154">
        <f t="shared" si="2"/>
        <v>0</v>
      </c>
      <c r="AB35" s="126" t="s">
        <v>220</v>
      </c>
      <c r="AC35" s="68"/>
      <c r="AD35" s="1"/>
      <c r="AE35" s="5"/>
      <c r="AF35" s="5"/>
      <c r="AG35" s="112" t="s">
        <v>449</v>
      </c>
      <c r="AH35" s="5"/>
      <c r="AI35" s="5"/>
      <c r="AJ35" s="5"/>
      <c r="AK35" s="5"/>
      <c r="AL35" s="5"/>
      <c r="AM35" s="51" t="s">
        <v>450</v>
      </c>
      <c r="AN35" s="5"/>
      <c r="AO35" s="5"/>
      <c r="AP35" s="12" t="s">
        <v>451</v>
      </c>
      <c r="AQ35" s="12"/>
      <c r="AR35" s="12"/>
      <c r="AS35" s="52" t="s">
        <v>452</v>
      </c>
      <c r="AT35" s="64" t="s">
        <v>453</v>
      </c>
      <c r="AU35" s="54"/>
      <c r="AV35" s="12"/>
      <c r="AW35" s="12"/>
      <c r="AX35" s="55"/>
      <c r="AY35" s="65" t="s">
        <v>454</v>
      </c>
      <c r="AZ35" s="54" t="s">
        <v>455</v>
      </c>
      <c r="BA35" s="13" t="s">
        <v>58</v>
      </c>
      <c r="BB35" s="13"/>
      <c r="BC35" s="13"/>
      <c r="BD35" s="58"/>
      <c r="BE35" s="59"/>
      <c r="BF35" s="1"/>
      <c r="BI35" s="114"/>
      <c r="BJ35" s="114"/>
    </row>
    <row r="36" spans="1:62" x14ac:dyDescent="0.25">
      <c r="A36" s="28"/>
      <c r="B36" s="143">
        <v>9239</v>
      </c>
      <c r="C36" s="144">
        <f t="shared" si="0"/>
        <v>2766</v>
      </c>
      <c r="D36" s="144" t="str">
        <f t="shared" si="1"/>
        <v>H003/21</v>
      </c>
      <c r="E36" s="97" t="s">
        <v>181</v>
      </c>
      <c r="F36" s="145" t="s">
        <v>232</v>
      </c>
      <c r="G36" s="146">
        <v>46102</v>
      </c>
      <c r="H36" s="147" t="s">
        <v>441</v>
      </c>
      <c r="I36" s="148">
        <f t="shared" si="3"/>
        <v>2107</v>
      </c>
      <c r="J36" s="150">
        <v>0.47916666666666669</v>
      </c>
      <c r="K36" s="150">
        <v>0.5</v>
      </c>
      <c r="L36" s="151">
        <v>0</v>
      </c>
      <c r="M36" s="1"/>
      <c r="N36" s="107">
        <v>34.4</v>
      </c>
      <c r="O36" s="1"/>
      <c r="P36" s="115">
        <v>0</v>
      </c>
      <c r="Q36" s="152">
        <v>0</v>
      </c>
      <c r="R36" s="1" t="s">
        <v>220</v>
      </c>
      <c r="S36" s="153">
        <f t="shared" si="4"/>
        <v>0</v>
      </c>
      <c r="T36" s="1" t="s">
        <v>220</v>
      </c>
      <c r="U36" s="152">
        <v>0</v>
      </c>
      <c r="V36" s="1"/>
      <c r="W36" s="152">
        <v>0</v>
      </c>
      <c r="X36" s="1" t="s">
        <v>220</v>
      </c>
      <c r="Y36" s="153">
        <f t="shared" si="5"/>
        <v>0</v>
      </c>
      <c r="Z36" s="126" t="s">
        <v>220</v>
      </c>
      <c r="AA36" s="154">
        <f>IF(B36="","",VLOOKUP(B36,$AJ$7:$AK$31,2,FALSE))</f>
        <v>0</v>
      </c>
      <c r="AB36" s="126" t="s">
        <v>220</v>
      </c>
      <c r="AC36" s="68"/>
      <c r="AD36" s="1"/>
      <c r="AE36" s="5"/>
      <c r="AF36" s="5"/>
      <c r="AG36" s="112" t="s">
        <v>456</v>
      </c>
      <c r="AH36" s="5"/>
      <c r="AI36" s="5"/>
      <c r="AJ36" s="5"/>
      <c r="AK36" s="5"/>
      <c r="AL36" s="5"/>
      <c r="AM36" s="51" t="s">
        <v>457</v>
      </c>
      <c r="AN36" s="5"/>
      <c r="AO36" s="5"/>
      <c r="AP36" s="12" t="s">
        <v>458</v>
      </c>
      <c r="AQ36" s="12"/>
      <c r="AR36" s="12"/>
      <c r="AS36" s="52" t="s">
        <v>459</v>
      </c>
      <c r="AT36" s="64" t="s">
        <v>459</v>
      </c>
      <c r="AU36" s="54"/>
      <c r="AV36" s="12"/>
      <c r="AW36" s="12"/>
      <c r="AX36" s="55" t="s">
        <v>460</v>
      </c>
      <c r="AY36" s="65" t="s">
        <v>461</v>
      </c>
      <c r="AZ36" s="54" t="s">
        <v>462</v>
      </c>
      <c r="BA36" s="13" t="s">
        <v>58</v>
      </c>
      <c r="BB36" s="13"/>
      <c r="BC36" s="13"/>
      <c r="BD36" s="58"/>
      <c r="BE36" s="59"/>
      <c r="BF36" s="1"/>
      <c r="BI36" s="114"/>
      <c r="BJ36" s="114"/>
    </row>
    <row r="37" spans="1:62" x14ac:dyDescent="0.25">
      <c r="A37" s="28"/>
      <c r="B37" s="143" t="s">
        <v>285</v>
      </c>
      <c r="C37" s="144">
        <f t="shared" si="0"/>
        <v>1118</v>
      </c>
      <c r="D37" s="144" t="str">
        <f t="shared" si="1"/>
        <v>-</v>
      </c>
      <c r="E37" s="97" t="s">
        <v>181</v>
      </c>
      <c r="F37" s="145" t="s">
        <v>232</v>
      </c>
      <c r="G37" s="146">
        <v>46102</v>
      </c>
      <c r="H37" s="147" t="s">
        <v>441</v>
      </c>
      <c r="I37" s="148">
        <f t="shared" si="3"/>
        <v>2107</v>
      </c>
      <c r="J37" s="155">
        <v>0.5</v>
      </c>
      <c r="K37" s="155">
        <v>0.52083333333333337</v>
      </c>
      <c r="L37" s="151">
        <v>0</v>
      </c>
      <c r="M37" s="1"/>
      <c r="N37" s="107">
        <v>34.4</v>
      </c>
      <c r="O37" s="1"/>
      <c r="P37" s="115">
        <v>0</v>
      </c>
      <c r="Q37" s="152">
        <v>0</v>
      </c>
      <c r="R37" s="1" t="s">
        <v>220</v>
      </c>
      <c r="S37" s="153">
        <f t="shared" si="4"/>
        <v>0</v>
      </c>
      <c r="T37" s="1" t="s">
        <v>220</v>
      </c>
      <c r="U37" s="152">
        <v>0</v>
      </c>
      <c r="V37" s="1"/>
      <c r="W37" s="152">
        <v>0</v>
      </c>
      <c r="X37" s="1" t="s">
        <v>220</v>
      </c>
      <c r="Y37" s="153">
        <f t="shared" si="5"/>
        <v>0</v>
      </c>
      <c r="Z37" s="126" t="s">
        <v>220</v>
      </c>
      <c r="AA37" s="154">
        <f t="shared" ref="AA37:AA44" si="6">IF(B37="","",VLOOKUP(B37,$AJ$7:$AK$31,2,FALSE))</f>
        <v>0</v>
      </c>
      <c r="AB37" s="126" t="s">
        <v>220</v>
      </c>
      <c r="AC37" s="68"/>
      <c r="AD37" s="1"/>
      <c r="AE37" s="5"/>
      <c r="AF37" s="5"/>
      <c r="AG37" s="156" t="s">
        <v>463</v>
      </c>
      <c r="AH37" s="5"/>
      <c r="AI37" s="5"/>
      <c r="AJ37" s="5"/>
      <c r="AK37" s="5"/>
      <c r="AL37" s="5"/>
      <c r="AM37" s="51" t="s">
        <v>464</v>
      </c>
      <c r="AN37" s="5"/>
      <c r="AO37" s="5"/>
      <c r="AP37" s="12" t="s">
        <v>465</v>
      </c>
      <c r="AQ37" s="12"/>
      <c r="AR37" s="12"/>
      <c r="AS37" s="52" t="s">
        <v>466</v>
      </c>
      <c r="AT37" s="64" t="s">
        <v>466</v>
      </c>
      <c r="AU37" s="54"/>
      <c r="AV37" s="12"/>
      <c r="AW37" s="12"/>
      <c r="AX37" s="55" t="s">
        <v>467</v>
      </c>
      <c r="AY37" s="65" t="s">
        <v>468</v>
      </c>
      <c r="AZ37" s="54" t="s">
        <v>469</v>
      </c>
      <c r="BA37" s="13" t="s">
        <v>58</v>
      </c>
      <c r="BB37" s="13"/>
      <c r="BC37" s="13"/>
      <c r="BD37" s="58"/>
      <c r="BE37" s="59"/>
      <c r="BF37" s="1"/>
      <c r="BI37" s="114"/>
      <c r="BJ37" s="114"/>
    </row>
    <row r="38" spans="1:62" x14ac:dyDescent="0.25">
      <c r="A38" s="28"/>
      <c r="B38" s="143" t="s">
        <v>74</v>
      </c>
      <c r="C38" s="144" t="str">
        <f t="shared" si="0"/>
        <v>5843S10542</v>
      </c>
      <c r="D38" s="144" t="str">
        <f t="shared" si="1"/>
        <v>-</v>
      </c>
      <c r="E38" s="157" t="s">
        <v>181</v>
      </c>
      <c r="F38" s="145" t="s">
        <v>232</v>
      </c>
      <c r="G38" s="146">
        <v>46102</v>
      </c>
      <c r="H38" s="147" t="s">
        <v>441</v>
      </c>
      <c r="I38" s="148">
        <f t="shared" si="3"/>
        <v>2107</v>
      </c>
      <c r="J38" s="155">
        <v>0.52083333333333337</v>
      </c>
      <c r="K38" s="155">
        <v>0.54166666666666663</v>
      </c>
      <c r="L38" s="151">
        <v>0</v>
      </c>
      <c r="M38" s="1"/>
      <c r="N38" s="107">
        <v>0</v>
      </c>
      <c r="O38" s="1"/>
      <c r="P38" s="115">
        <v>0</v>
      </c>
      <c r="Q38" s="152">
        <v>0</v>
      </c>
      <c r="R38" s="1" t="s">
        <v>220</v>
      </c>
      <c r="S38" s="153">
        <f t="shared" si="4"/>
        <v>0</v>
      </c>
      <c r="T38" s="1" t="s">
        <v>220</v>
      </c>
      <c r="U38" s="152">
        <v>0</v>
      </c>
      <c r="V38" s="1"/>
      <c r="W38" s="152">
        <v>0</v>
      </c>
      <c r="X38" s="1" t="s">
        <v>220</v>
      </c>
      <c r="Y38" s="153">
        <f t="shared" si="5"/>
        <v>0</v>
      </c>
      <c r="Z38" s="126" t="s">
        <v>220</v>
      </c>
      <c r="AA38" s="154">
        <f t="shared" si="6"/>
        <v>0</v>
      </c>
      <c r="AB38" s="126" t="s">
        <v>220</v>
      </c>
      <c r="AC38" s="68"/>
      <c r="AD38" s="1"/>
      <c r="AE38" s="103" t="s">
        <v>295</v>
      </c>
      <c r="AF38" s="5"/>
      <c r="AG38" s="156" t="s">
        <v>470</v>
      </c>
      <c r="AH38" s="5"/>
      <c r="AI38" s="5"/>
      <c r="AJ38" s="5"/>
      <c r="AK38" s="5"/>
      <c r="AL38" s="5"/>
      <c r="AM38" s="51" t="s">
        <v>471</v>
      </c>
      <c r="AN38" s="5"/>
      <c r="AO38" s="5"/>
      <c r="AP38" s="12" t="s">
        <v>472</v>
      </c>
      <c r="AQ38" s="12"/>
      <c r="AR38" s="12"/>
      <c r="AS38" s="65" t="s">
        <v>473</v>
      </c>
      <c r="AT38" s="12" t="s">
        <v>474</v>
      </c>
      <c r="AU38" s="54"/>
      <c r="AV38" s="12"/>
      <c r="AW38" s="12"/>
      <c r="AX38" s="55" t="s">
        <v>475</v>
      </c>
      <c r="AY38" s="65" t="s">
        <v>476</v>
      </c>
      <c r="AZ38" s="54" t="s">
        <v>477</v>
      </c>
      <c r="BA38" s="13" t="s">
        <v>58</v>
      </c>
      <c r="BB38" s="13"/>
      <c r="BC38" s="13"/>
      <c r="BD38" s="58"/>
      <c r="BE38" s="59"/>
      <c r="BF38" s="1"/>
      <c r="BI38" s="114"/>
      <c r="BJ38" s="114"/>
    </row>
    <row r="39" spans="1:62" x14ac:dyDescent="0.25">
      <c r="A39" s="28"/>
      <c r="B39" s="143"/>
      <c r="C39" s="144" t="str">
        <f t="shared" si="0"/>
        <v/>
      </c>
      <c r="D39" s="144" t="str">
        <f t="shared" si="1"/>
        <v/>
      </c>
      <c r="E39" s="97"/>
      <c r="F39" s="145"/>
      <c r="G39" s="146"/>
      <c r="H39" s="147"/>
      <c r="I39" s="148" t="str">
        <f t="shared" si="3"/>
        <v/>
      </c>
      <c r="J39" s="155"/>
      <c r="K39" s="155"/>
      <c r="L39" s="151"/>
      <c r="M39" s="1"/>
      <c r="N39" s="107"/>
      <c r="O39" s="1"/>
      <c r="P39" s="115"/>
      <c r="Q39" s="152"/>
      <c r="R39" s="1" t="s">
        <v>220</v>
      </c>
      <c r="S39" s="153">
        <f t="shared" si="4"/>
        <v>0</v>
      </c>
      <c r="T39" s="1" t="s">
        <v>220</v>
      </c>
      <c r="U39" s="152"/>
      <c r="V39" s="1"/>
      <c r="W39" s="152"/>
      <c r="X39" s="1" t="s">
        <v>220</v>
      </c>
      <c r="Y39" s="153">
        <f t="shared" si="5"/>
        <v>0</v>
      </c>
      <c r="Z39" s="126" t="s">
        <v>220</v>
      </c>
      <c r="AA39" s="154" t="str">
        <f t="shared" si="6"/>
        <v/>
      </c>
      <c r="AB39" s="126" t="s">
        <v>220</v>
      </c>
      <c r="AC39" s="68"/>
      <c r="AD39" s="1"/>
      <c r="AE39" s="5"/>
      <c r="AF39" s="5"/>
      <c r="AG39" s="112" t="s">
        <v>478</v>
      </c>
      <c r="AH39" s="5"/>
      <c r="AI39" s="5"/>
      <c r="AJ39" s="5"/>
      <c r="AK39" s="5"/>
      <c r="AL39" s="5"/>
      <c r="AM39" s="51" t="s">
        <v>479</v>
      </c>
      <c r="AN39" s="5"/>
      <c r="AO39" s="5"/>
      <c r="AP39" s="12" t="s">
        <v>480</v>
      </c>
      <c r="AQ39" s="12"/>
      <c r="AR39" s="12"/>
      <c r="AS39" s="52" t="s">
        <v>481</v>
      </c>
      <c r="AT39" s="64" t="s">
        <v>481</v>
      </c>
      <c r="AU39" s="54"/>
      <c r="AV39" s="12"/>
      <c r="AW39" s="12"/>
      <c r="AX39" s="55" t="s">
        <v>482</v>
      </c>
      <c r="AY39" s="65" t="s">
        <v>483</v>
      </c>
      <c r="AZ39" s="54" t="s">
        <v>484</v>
      </c>
      <c r="BA39" s="13" t="s">
        <v>58</v>
      </c>
      <c r="BB39" s="13"/>
      <c r="BC39" s="13"/>
      <c r="BD39" s="58"/>
      <c r="BE39" s="59"/>
      <c r="BF39" s="1"/>
      <c r="BI39" s="114"/>
      <c r="BJ39" s="114"/>
    </row>
    <row r="40" spans="1:62" x14ac:dyDescent="0.25">
      <c r="A40" s="28"/>
      <c r="B40" s="143"/>
      <c r="C40" s="144" t="str">
        <f t="shared" si="0"/>
        <v/>
      </c>
      <c r="D40" s="144" t="str">
        <f t="shared" si="1"/>
        <v/>
      </c>
      <c r="E40" s="157"/>
      <c r="F40" s="145"/>
      <c r="G40" s="146"/>
      <c r="H40" s="147"/>
      <c r="I40" s="148" t="str">
        <f t="shared" si="3"/>
        <v/>
      </c>
      <c r="J40" s="155"/>
      <c r="K40" s="155"/>
      <c r="L40" s="151"/>
      <c r="M40" s="1"/>
      <c r="N40" s="107"/>
      <c r="O40" s="1"/>
      <c r="P40" s="115"/>
      <c r="Q40" s="152"/>
      <c r="R40" s="1" t="s">
        <v>220</v>
      </c>
      <c r="S40" s="153">
        <f t="shared" si="4"/>
        <v>0</v>
      </c>
      <c r="T40" s="1" t="s">
        <v>220</v>
      </c>
      <c r="U40" s="152"/>
      <c r="V40" s="1"/>
      <c r="W40" s="152"/>
      <c r="X40" s="1" t="s">
        <v>220</v>
      </c>
      <c r="Y40" s="153">
        <f t="shared" si="5"/>
        <v>0</v>
      </c>
      <c r="Z40" s="126" t="s">
        <v>220</v>
      </c>
      <c r="AA40" s="154" t="str">
        <f t="shared" si="6"/>
        <v/>
      </c>
      <c r="AB40" s="126" t="s">
        <v>220</v>
      </c>
      <c r="AC40" s="68"/>
      <c r="AD40" s="1"/>
      <c r="AE40" s="5" t="s">
        <v>296</v>
      </c>
      <c r="AF40" s="5"/>
      <c r="AG40" s="112" t="s">
        <v>485</v>
      </c>
      <c r="AH40" s="5"/>
      <c r="AI40" s="5"/>
      <c r="AJ40" s="5"/>
      <c r="AK40" s="5"/>
      <c r="AL40" s="5"/>
      <c r="AM40" s="51" t="s">
        <v>486</v>
      </c>
      <c r="AN40" s="5"/>
      <c r="AO40" s="5"/>
      <c r="AP40" s="12" t="s">
        <v>487</v>
      </c>
      <c r="AQ40" s="12"/>
      <c r="AR40" s="12"/>
      <c r="AS40" s="65" t="s">
        <v>488</v>
      </c>
      <c r="AT40" s="12" t="s">
        <v>488</v>
      </c>
      <c r="AU40" s="54"/>
      <c r="AV40" s="12"/>
      <c r="AW40" s="12"/>
      <c r="AX40" s="55" t="s">
        <v>489</v>
      </c>
      <c r="AY40" s="65" t="s">
        <v>490</v>
      </c>
      <c r="AZ40" s="54" t="s">
        <v>491</v>
      </c>
      <c r="BA40" s="13" t="s">
        <v>58</v>
      </c>
      <c r="BB40" s="13"/>
      <c r="BC40" s="13"/>
      <c r="BD40" s="58"/>
      <c r="BE40" s="59"/>
      <c r="BF40" s="1"/>
      <c r="BI40" s="114"/>
      <c r="BJ40" s="114"/>
    </row>
    <row r="41" spans="1:62" x14ac:dyDescent="0.25">
      <c r="A41" s="28"/>
      <c r="B41" s="143"/>
      <c r="C41" s="144" t="str">
        <f t="shared" si="0"/>
        <v/>
      </c>
      <c r="D41" s="144" t="str">
        <f t="shared" si="1"/>
        <v/>
      </c>
      <c r="E41" s="157"/>
      <c r="F41" s="145"/>
      <c r="G41" s="146"/>
      <c r="H41" s="147"/>
      <c r="I41" s="148" t="str">
        <f t="shared" si="3"/>
        <v/>
      </c>
      <c r="J41" s="155"/>
      <c r="K41" s="155"/>
      <c r="L41" s="151"/>
      <c r="M41" s="1"/>
      <c r="N41" s="107"/>
      <c r="O41" s="1"/>
      <c r="P41" s="115"/>
      <c r="Q41" s="152"/>
      <c r="R41" s="1" t="s">
        <v>220</v>
      </c>
      <c r="S41" s="153">
        <f t="shared" si="4"/>
        <v>0</v>
      </c>
      <c r="T41" s="1" t="s">
        <v>220</v>
      </c>
      <c r="U41" s="152"/>
      <c r="V41" s="1"/>
      <c r="W41" s="152"/>
      <c r="X41" s="1" t="s">
        <v>220</v>
      </c>
      <c r="Y41" s="153">
        <f t="shared" si="5"/>
        <v>0</v>
      </c>
      <c r="Z41" s="126" t="s">
        <v>220</v>
      </c>
      <c r="AA41" s="154" t="str">
        <f t="shared" si="6"/>
        <v/>
      </c>
      <c r="AB41" s="126" t="s">
        <v>220</v>
      </c>
      <c r="AC41" s="68"/>
      <c r="AD41" s="1"/>
      <c r="AE41" s="5" t="s">
        <v>95</v>
      </c>
      <c r="AF41" s="5"/>
      <c r="AG41" s="112" t="s">
        <v>492</v>
      </c>
      <c r="AH41" s="5"/>
      <c r="AI41" s="5"/>
      <c r="AJ41" s="5"/>
      <c r="AK41" s="5"/>
      <c r="AL41" s="5"/>
      <c r="AM41" s="51" t="s">
        <v>493</v>
      </c>
      <c r="AN41" s="5"/>
      <c r="AO41" s="5"/>
      <c r="AP41" s="12" t="s">
        <v>494</v>
      </c>
      <c r="AQ41" s="12"/>
      <c r="AR41" s="12"/>
      <c r="AS41" s="65" t="s">
        <v>495</v>
      </c>
      <c r="AT41" s="12" t="s">
        <v>495</v>
      </c>
      <c r="AU41" s="54"/>
      <c r="AV41" s="12"/>
      <c r="AW41" s="12"/>
      <c r="AX41" s="55" t="s">
        <v>496</v>
      </c>
      <c r="AY41" s="65" t="s">
        <v>497</v>
      </c>
      <c r="AZ41" s="54" t="s">
        <v>498</v>
      </c>
      <c r="BA41" s="13" t="s">
        <v>58</v>
      </c>
      <c r="BB41" s="13"/>
      <c r="BC41" s="13"/>
      <c r="BD41" s="58"/>
      <c r="BE41" s="59"/>
      <c r="BF41" s="1"/>
      <c r="BI41" s="114"/>
      <c r="BJ41" s="114"/>
    </row>
    <row r="42" spans="1:62" x14ac:dyDescent="0.25">
      <c r="A42" s="28"/>
      <c r="B42" s="143"/>
      <c r="C42" s="144" t="str">
        <f t="shared" si="0"/>
        <v/>
      </c>
      <c r="D42" s="144" t="str">
        <f t="shared" si="1"/>
        <v/>
      </c>
      <c r="E42" s="157"/>
      <c r="F42" s="145"/>
      <c r="G42" s="146"/>
      <c r="H42" s="147"/>
      <c r="I42" s="148" t="str">
        <f t="shared" si="3"/>
        <v/>
      </c>
      <c r="J42" s="155"/>
      <c r="K42" s="155"/>
      <c r="L42" s="151"/>
      <c r="M42" s="1"/>
      <c r="N42" s="107"/>
      <c r="O42" s="1"/>
      <c r="P42" s="115"/>
      <c r="Q42" s="152"/>
      <c r="R42" s="1" t="s">
        <v>220</v>
      </c>
      <c r="S42" s="153">
        <f t="shared" si="4"/>
        <v>0</v>
      </c>
      <c r="T42" s="1" t="s">
        <v>220</v>
      </c>
      <c r="U42" s="118"/>
      <c r="V42" s="1"/>
      <c r="W42" s="152"/>
      <c r="X42" s="1" t="s">
        <v>220</v>
      </c>
      <c r="Y42" s="153">
        <f t="shared" si="5"/>
        <v>0</v>
      </c>
      <c r="Z42" s="126" t="s">
        <v>220</v>
      </c>
      <c r="AA42" s="154" t="str">
        <f t="shared" si="6"/>
        <v/>
      </c>
      <c r="AB42" s="126" t="s">
        <v>220</v>
      </c>
      <c r="AC42" s="68"/>
      <c r="AD42" s="1"/>
      <c r="AE42" s="5"/>
      <c r="AF42" s="5"/>
      <c r="AG42" s="112" t="s">
        <v>499</v>
      </c>
      <c r="AH42" s="5"/>
      <c r="AI42" s="5"/>
      <c r="AJ42" s="5"/>
      <c r="AK42" s="5"/>
      <c r="AL42" s="5"/>
      <c r="AM42" s="51" t="s">
        <v>500</v>
      </c>
      <c r="AN42" s="5"/>
      <c r="AO42" s="5"/>
      <c r="AP42" s="12" t="s">
        <v>501</v>
      </c>
      <c r="AQ42" s="12"/>
      <c r="AR42" s="12"/>
      <c r="AS42" s="65" t="s">
        <v>502</v>
      </c>
      <c r="AT42" s="12" t="s">
        <v>502</v>
      </c>
      <c r="AU42" s="54"/>
      <c r="AV42" s="12"/>
      <c r="AW42" s="12"/>
      <c r="AX42" s="55" t="s">
        <v>503</v>
      </c>
      <c r="AY42" s="65" t="s">
        <v>504</v>
      </c>
      <c r="AZ42" s="54" t="s">
        <v>505</v>
      </c>
      <c r="BA42" s="13" t="s">
        <v>58</v>
      </c>
      <c r="BB42" s="13"/>
      <c r="BC42" s="13"/>
      <c r="BD42" s="58"/>
      <c r="BE42" s="59"/>
      <c r="BF42" s="1"/>
      <c r="BI42" s="114"/>
      <c r="BJ42" s="114"/>
    </row>
    <row r="43" spans="1:62" x14ac:dyDescent="0.25">
      <c r="A43" s="28"/>
      <c r="B43" s="143"/>
      <c r="C43" s="144" t="str">
        <f t="shared" si="0"/>
        <v/>
      </c>
      <c r="D43" s="144" t="str">
        <f t="shared" si="1"/>
        <v/>
      </c>
      <c r="E43" s="157"/>
      <c r="F43" s="145"/>
      <c r="G43" s="146"/>
      <c r="H43" s="147"/>
      <c r="I43" s="148" t="str">
        <f t="shared" si="3"/>
        <v/>
      </c>
      <c r="J43" s="158"/>
      <c r="K43" s="158"/>
      <c r="L43" s="151"/>
      <c r="M43" s="1"/>
      <c r="N43" s="115"/>
      <c r="O43" s="1"/>
      <c r="P43" s="115"/>
      <c r="Q43" s="152"/>
      <c r="R43" s="1" t="s">
        <v>220</v>
      </c>
      <c r="S43" s="153">
        <f t="shared" si="4"/>
        <v>0</v>
      </c>
      <c r="T43" s="1" t="s">
        <v>220</v>
      </c>
      <c r="U43" s="115"/>
      <c r="V43" s="1"/>
      <c r="W43" s="152"/>
      <c r="X43" s="1" t="s">
        <v>220</v>
      </c>
      <c r="Y43" s="153">
        <f t="shared" si="5"/>
        <v>0</v>
      </c>
      <c r="Z43" s="126" t="s">
        <v>220</v>
      </c>
      <c r="AA43" s="154" t="str">
        <f t="shared" si="6"/>
        <v/>
      </c>
      <c r="AB43" s="126" t="s">
        <v>220</v>
      </c>
      <c r="AC43" s="68"/>
      <c r="AD43" s="1"/>
      <c r="AE43" s="41" t="s">
        <v>506</v>
      </c>
      <c r="AF43" s="5"/>
      <c r="AG43" s="112" t="s">
        <v>507</v>
      </c>
      <c r="AH43" s="5"/>
      <c r="AI43" s="5"/>
      <c r="AJ43" s="5"/>
      <c r="AK43" s="5"/>
      <c r="AL43" s="5"/>
      <c r="AM43" s="51" t="s">
        <v>508</v>
      </c>
      <c r="AN43" s="5"/>
      <c r="AO43" s="5"/>
      <c r="AP43" s="12" t="s">
        <v>509</v>
      </c>
      <c r="AQ43" s="12"/>
      <c r="AR43" s="12"/>
      <c r="AS43" s="52" t="s">
        <v>510</v>
      </c>
      <c r="AT43" s="64" t="s">
        <v>511</v>
      </c>
      <c r="AU43" s="54"/>
      <c r="AV43" s="12"/>
      <c r="AW43" s="12"/>
      <c r="AX43" s="55" t="s">
        <v>512</v>
      </c>
      <c r="AY43" s="65" t="s">
        <v>513</v>
      </c>
      <c r="AZ43" s="54" t="s">
        <v>514</v>
      </c>
      <c r="BA43" s="13" t="s">
        <v>58</v>
      </c>
      <c r="BB43" s="13"/>
      <c r="BC43" s="13"/>
      <c r="BD43" s="58"/>
      <c r="BE43" s="59"/>
      <c r="BF43" s="1"/>
      <c r="BI43" s="114"/>
      <c r="BJ43" s="114"/>
    </row>
    <row r="44" spans="1:62" x14ac:dyDescent="0.25">
      <c r="A44" s="28"/>
      <c r="B44" s="143"/>
      <c r="C44" s="144" t="str">
        <f t="shared" si="0"/>
        <v/>
      </c>
      <c r="D44" s="144" t="str">
        <f t="shared" si="1"/>
        <v/>
      </c>
      <c r="E44" s="157"/>
      <c r="F44" s="145"/>
      <c r="G44" s="146"/>
      <c r="H44" s="147"/>
      <c r="I44" s="148" t="str">
        <f t="shared" si="3"/>
        <v/>
      </c>
      <c r="J44" s="158"/>
      <c r="K44" s="158"/>
      <c r="L44" s="151"/>
      <c r="M44" s="140"/>
      <c r="N44" s="115"/>
      <c r="O44" s="140"/>
      <c r="P44" s="115"/>
      <c r="Q44" s="152"/>
      <c r="R44" s="140" t="s">
        <v>220</v>
      </c>
      <c r="S44" s="153">
        <f>IF(B44="-","",-Q44-P44)</f>
        <v>0</v>
      </c>
      <c r="T44" s="140" t="s">
        <v>220</v>
      </c>
      <c r="U44" s="152"/>
      <c r="V44" s="140"/>
      <c r="W44" s="152"/>
      <c r="X44" s="140" t="s">
        <v>220</v>
      </c>
      <c r="Y44" s="153">
        <f t="shared" si="5"/>
        <v>0</v>
      </c>
      <c r="Z44" s="142" t="s">
        <v>220</v>
      </c>
      <c r="AA44" s="154" t="str">
        <f t="shared" si="6"/>
        <v/>
      </c>
      <c r="AB44" s="142" t="s">
        <v>220</v>
      </c>
      <c r="AC44" s="68"/>
      <c r="AD44" s="1"/>
      <c r="AE44" s="12" t="s">
        <v>48</v>
      </c>
      <c r="AF44" s="5"/>
      <c r="AG44" s="112" t="s">
        <v>515</v>
      </c>
      <c r="AH44" s="5"/>
      <c r="AI44" s="5"/>
      <c r="AJ44" s="5"/>
      <c r="AK44" s="5"/>
      <c r="AL44" s="5"/>
      <c r="AM44" s="51" t="s">
        <v>516</v>
      </c>
      <c r="AN44" s="5"/>
      <c r="AO44" s="5"/>
      <c r="AP44" s="12" t="s">
        <v>517</v>
      </c>
      <c r="AQ44" s="12"/>
      <c r="AR44" s="12"/>
      <c r="AS44" s="52" t="s">
        <v>518</v>
      </c>
      <c r="AT44" s="64" t="s">
        <v>519</v>
      </c>
      <c r="AU44" s="54"/>
      <c r="AV44" s="12"/>
      <c r="AW44" s="12"/>
      <c r="AX44" s="55"/>
      <c r="AY44" s="65" t="s">
        <v>520</v>
      </c>
      <c r="AZ44" s="54" t="s">
        <v>521</v>
      </c>
      <c r="BA44" s="13" t="s">
        <v>58</v>
      </c>
      <c r="BB44" s="13"/>
      <c r="BC44" s="13"/>
      <c r="BD44" s="58"/>
      <c r="BE44" s="59"/>
      <c r="BF44" s="1"/>
      <c r="BI44" s="114"/>
      <c r="BJ44" s="114"/>
    </row>
    <row r="45" spans="1:62" x14ac:dyDescent="0.25">
      <c r="A45" s="28"/>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2" t="s">
        <v>93</v>
      </c>
      <c r="AF45" s="5"/>
      <c r="AG45" s="112" t="s">
        <v>522</v>
      </c>
      <c r="AH45" s="5"/>
      <c r="AI45" s="5"/>
      <c r="AJ45" s="5"/>
      <c r="AK45" s="5"/>
      <c r="AL45" s="5"/>
      <c r="AM45" s="51" t="s">
        <v>523</v>
      </c>
      <c r="AN45" s="5"/>
      <c r="AO45" s="5"/>
      <c r="AP45" s="12" t="s">
        <v>524</v>
      </c>
      <c r="AQ45" s="12"/>
      <c r="AR45" s="12"/>
      <c r="AS45" s="52" t="s">
        <v>525</v>
      </c>
      <c r="AT45" s="64" t="s">
        <v>511</v>
      </c>
      <c r="AU45" s="54"/>
      <c r="AV45" s="12"/>
      <c r="AW45" s="12"/>
      <c r="AX45" s="55" t="s">
        <v>526</v>
      </c>
      <c r="AY45" s="65" t="s">
        <v>527</v>
      </c>
      <c r="AZ45" s="54" t="s">
        <v>528</v>
      </c>
      <c r="BA45" s="13" t="s">
        <v>58</v>
      </c>
      <c r="BB45" s="13"/>
      <c r="BC45" s="13"/>
      <c r="BD45" s="58"/>
      <c r="BE45" s="59"/>
      <c r="BF45" s="1"/>
      <c r="BI45" s="114"/>
      <c r="BJ45" s="114"/>
    </row>
    <row r="46" spans="1:62" ht="13" x14ac:dyDescent="0.3">
      <c r="A46" s="28"/>
      <c r="B46" s="159"/>
      <c r="C46" s="133"/>
      <c r="D46" s="133"/>
      <c r="E46" s="133"/>
      <c r="F46" s="133"/>
      <c r="G46" s="133"/>
      <c r="H46" s="133"/>
      <c r="I46" s="160"/>
      <c r="J46" s="133"/>
      <c r="K46" s="160" t="s">
        <v>529</v>
      </c>
      <c r="L46" s="133"/>
      <c r="M46" s="133"/>
      <c r="N46" s="133"/>
      <c r="O46" s="133"/>
      <c r="P46" s="133"/>
      <c r="Q46" s="133"/>
      <c r="R46" s="133"/>
      <c r="S46" s="161" t="s">
        <v>530</v>
      </c>
      <c r="T46" s="133"/>
      <c r="U46" s="133"/>
      <c r="V46" s="133"/>
      <c r="W46" s="133"/>
      <c r="X46" s="133"/>
      <c r="Y46" s="133"/>
      <c r="Z46" s="133"/>
      <c r="AA46" s="133"/>
      <c r="AB46" s="162"/>
      <c r="AC46" s="1"/>
      <c r="AD46" s="1"/>
      <c r="AE46" s="12" t="s">
        <v>531</v>
      </c>
      <c r="AF46" s="5"/>
      <c r="AG46" s="112" t="s">
        <v>532</v>
      </c>
      <c r="AH46" s="5"/>
      <c r="AI46" s="5"/>
      <c r="AJ46" s="5"/>
      <c r="AK46" s="5"/>
      <c r="AL46" s="5"/>
      <c r="AM46" s="51" t="s">
        <v>533</v>
      </c>
      <c r="AN46" s="5"/>
      <c r="AO46" s="5"/>
      <c r="AP46" s="12" t="s">
        <v>534</v>
      </c>
      <c r="AQ46" s="12"/>
      <c r="AR46" s="12"/>
      <c r="AS46" s="65" t="s">
        <v>535</v>
      </c>
      <c r="AT46" s="12" t="s">
        <v>536</v>
      </c>
      <c r="AU46" s="54"/>
      <c r="AV46" s="12"/>
      <c r="AW46" s="12"/>
      <c r="AX46" s="42" t="s">
        <v>537</v>
      </c>
      <c r="AY46" s="65" t="s">
        <v>538</v>
      </c>
      <c r="AZ46" s="54" t="s">
        <v>539</v>
      </c>
      <c r="BA46" s="13" t="s">
        <v>58</v>
      </c>
      <c r="BB46" s="13"/>
      <c r="BC46" s="13"/>
      <c r="BD46" s="58"/>
      <c r="BE46" s="59"/>
      <c r="BF46" s="1"/>
      <c r="BI46" s="114"/>
      <c r="BJ46" s="114"/>
    </row>
    <row r="47" spans="1:62" ht="13" thickBot="1" x14ac:dyDescent="0.3">
      <c r="A47" s="28"/>
      <c r="B47" s="28"/>
      <c r="C47" s="1"/>
      <c r="D47" s="1"/>
      <c r="E47" s="1" t="s">
        <v>540</v>
      </c>
      <c r="F47" s="30" t="s">
        <v>541</v>
      </c>
      <c r="G47" s="30"/>
      <c r="H47" s="29" t="s">
        <v>542</v>
      </c>
      <c r="I47" s="1"/>
      <c r="J47" s="1"/>
      <c r="K47" s="1"/>
      <c r="L47" s="1"/>
      <c r="M47" s="1"/>
      <c r="N47" s="1"/>
      <c r="O47" s="1"/>
      <c r="P47" s="1"/>
      <c r="Q47" s="1"/>
      <c r="R47" s="1"/>
      <c r="S47" s="1" t="s">
        <v>543</v>
      </c>
      <c r="T47" s="1"/>
      <c r="U47" s="1" t="s">
        <v>544</v>
      </c>
      <c r="V47" s="1"/>
      <c r="W47" s="1" t="s">
        <v>545</v>
      </c>
      <c r="X47" s="1"/>
      <c r="Y47" s="1" t="s">
        <v>546</v>
      </c>
      <c r="Z47" s="1"/>
      <c r="AA47" s="1" t="s">
        <v>547</v>
      </c>
      <c r="AB47" s="126"/>
      <c r="AC47" s="1"/>
      <c r="AD47" s="1"/>
      <c r="AE47" s="12" t="s">
        <v>548</v>
      </c>
      <c r="AF47" s="5"/>
      <c r="AG47" s="112" t="s">
        <v>549</v>
      </c>
      <c r="AH47" s="5"/>
      <c r="AI47" s="5"/>
      <c r="AJ47" s="5"/>
      <c r="AK47" s="5"/>
      <c r="AL47" s="5"/>
      <c r="AM47" s="51" t="s">
        <v>550</v>
      </c>
      <c r="AN47" s="5"/>
      <c r="AO47" s="5"/>
      <c r="AP47" s="12" t="s">
        <v>551</v>
      </c>
      <c r="AQ47" s="12"/>
      <c r="AR47" s="12"/>
      <c r="AS47" s="65" t="s">
        <v>552</v>
      </c>
      <c r="AT47" s="12" t="s">
        <v>553</v>
      </c>
      <c r="AU47" s="54"/>
      <c r="AV47" s="12"/>
      <c r="AW47" s="12"/>
      <c r="AX47" s="55" t="s">
        <v>554</v>
      </c>
      <c r="AY47" s="65" t="s">
        <v>555</v>
      </c>
      <c r="AZ47" s="54" t="s">
        <v>556</v>
      </c>
      <c r="BA47" s="13" t="s">
        <v>58</v>
      </c>
      <c r="BB47" s="13"/>
      <c r="BC47" s="13"/>
      <c r="BD47" s="58"/>
      <c r="BE47" s="59"/>
      <c r="BF47" s="1"/>
      <c r="BI47" s="114"/>
      <c r="BJ47" s="114"/>
    </row>
    <row r="48" spans="1:62" x14ac:dyDescent="0.25">
      <c r="A48" s="1"/>
      <c r="B48" s="28"/>
      <c r="C48" s="1"/>
      <c r="D48" s="1" t="s">
        <v>557</v>
      </c>
      <c r="E48" s="118"/>
      <c r="F48" s="163"/>
      <c r="G48" s="30"/>
      <c r="H48" s="374"/>
      <c r="I48" s="375"/>
      <c r="J48" s="375"/>
      <c r="K48" s="375"/>
      <c r="L48" s="375"/>
      <c r="M48" s="375"/>
      <c r="N48" s="375"/>
      <c r="O48" s="375"/>
      <c r="P48" s="375"/>
      <c r="Q48" s="376"/>
      <c r="R48" s="1"/>
      <c r="S48" s="118"/>
      <c r="T48" s="1"/>
      <c r="U48" s="118"/>
      <c r="V48" s="1"/>
      <c r="W48" s="164" t="e">
        <f>S48/U48</f>
        <v>#DIV/0!</v>
      </c>
      <c r="X48" s="1"/>
      <c r="Y48" s="164" t="e">
        <f>W48*60</f>
        <v>#DIV/0!</v>
      </c>
      <c r="Z48" s="1"/>
      <c r="AA48" s="118"/>
      <c r="AB48" s="126"/>
      <c r="AC48" s="1"/>
      <c r="AD48" s="1"/>
      <c r="AE48" s="12" t="s">
        <v>558</v>
      </c>
      <c r="AF48" s="5"/>
      <c r="AG48" s="112" t="s">
        <v>559</v>
      </c>
      <c r="AH48" s="5"/>
      <c r="AI48" s="5"/>
      <c r="AJ48" s="165">
        <v>9238</v>
      </c>
      <c r="AK48" s="5"/>
      <c r="AL48" s="5"/>
      <c r="AM48" s="51" t="s">
        <v>560</v>
      </c>
      <c r="AN48" s="5"/>
      <c r="AO48" s="5"/>
      <c r="AP48" s="12" t="s">
        <v>561</v>
      </c>
      <c r="AQ48" s="12"/>
      <c r="AR48" s="12"/>
      <c r="AS48" s="52" t="s">
        <v>562</v>
      </c>
      <c r="AT48" s="64" t="s">
        <v>562</v>
      </c>
      <c r="AU48" s="54"/>
      <c r="AV48" s="12"/>
      <c r="AW48" s="12"/>
      <c r="AX48" s="55" t="s">
        <v>563</v>
      </c>
      <c r="AY48" s="65" t="s">
        <v>564</v>
      </c>
      <c r="AZ48" s="54" t="s">
        <v>565</v>
      </c>
      <c r="BA48" s="13" t="s">
        <v>58</v>
      </c>
      <c r="BB48" s="13"/>
      <c r="BC48" s="13"/>
      <c r="BD48" s="58"/>
      <c r="BE48" s="59"/>
      <c r="BF48" s="1"/>
      <c r="BI48" s="114"/>
      <c r="BJ48" s="114"/>
    </row>
    <row r="49" spans="1:62" x14ac:dyDescent="0.25">
      <c r="A49" s="1"/>
      <c r="B49" s="28"/>
      <c r="C49" s="1"/>
      <c r="D49" s="1" t="s">
        <v>566</v>
      </c>
      <c r="E49" s="118"/>
      <c r="F49" s="1"/>
      <c r="G49" s="1"/>
      <c r="H49" s="377"/>
      <c r="I49" s="378"/>
      <c r="J49" s="378"/>
      <c r="K49" s="378"/>
      <c r="L49" s="378"/>
      <c r="M49" s="378"/>
      <c r="N49" s="378"/>
      <c r="O49" s="378"/>
      <c r="P49" s="378"/>
      <c r="Q49" s="379"/>
      <c r="R49" s="1"/>
      <c r="S49" s="1"/>
      <c r="T49" s="1"/>
      <c r="U49" s="1"/>
      <c r="V49" s="1"/>
      <c r="W49" s="1"/>
      <c r="X49" s="1"/>
      <c r="Y49" s="1"/>
      <c r="Z49" s="1"/>
      <c r="AA49" s="1"/>
      <c r="AB49" s="126"/>
      <c r="AC49" s="1"/>
      <c r="AD49" s="1"/>
      <c r="AE49" s="12" t="s">
        <v>567</v>
      </c>
      <c r="AF49" s="5"/>
      <c r="AG49" s="112" t="s">
        <v>568</v>
      </c>
      <c r="AH49" s="5"/>
      <c r="AI49" s="5"/>
      <c r="AJ49" s="166">
        <v>9239</v>
      </c>
      <c r="AK49" s="5"/>
      <c r="AL49" s="5"/>
      <c r="AM49" s="51" t="s">
        <v>569</v>
      </c>
      <c r="AN49" s="5"/>
      <c r="AO49" s="5"/>
      <c r="AP49" s="12" t="s">
        <v>570</v>
      </c>
      <c r="AQ49" s="12"/>
      <c r="AR49" s="12"/>
      <c r="AS49" s="65" t="s">
        <v>571</v>
      </c>
      <c r="AT49" s="12" t="s">
        <v>571</v>
      </c>
      <c r="AU49" s="54"/>
      <c r="AV49" s="12"/>
      <c r="AW49" s="12"/>
      <c r="AX49" s="55"/>
      <c r="AY49" s="65" t="s">
        <v>572</v>
      </c>
      <c r="AZ49" s="54" t="s">
        <v>573</v>
      </c>
      <c r="BA49" s="13" t="s">
        <v>58</v>
      </c>
      <c r="BB49" s="13" t="s">
        <v>98</v>
      </c>
      <c r="BC49" s="13" t="s">
        <v>206</v>
      </c>
      <c r="BD49" s="58"/>
      <c r="BE49" s="59"/>
      <c r="BF49" s="1"/>
      <c r="BI49" s="114"/>
      <c r="BJ49" s="114"/>
    </row>
    <row r="50" spans="1:62" x14ac:dyDescent="0.25">
      <c r="A50" s="1"/>
      <c r="B50" s="28"/>
      <c r="C50" s="1"/>
      <c r="D50" s="1"/>
      <c r="E50" s="1"/>
      <c r="F50" s="1"/>
      <c r="G50" s="1"/>
      <c r="H50" s="1"/>
      <c r="I50" s="1"/>
      <c r="J50" s="1"/>
      <c r="K50" s="1"/>
      <c r="L50" s="1"/>
      <c r="M50" s="1"/>
      <c r="N50" s="1"/>
      <c r="O50" s="1"/>
      <c r="P50" s="1"/>
      <c r="Q50" s="1"/>
      <c r="R50" s="1"/>
      <c r="S50" s="84" t="s">
        <v>574</v>
      </c>
      <c r="T50" s="1"/>
      <c r="U50" s="1"/>
      <c r="V50" s="1"/>
      <c r="W50" s="1"/>
      <c r="X50" s="1"/>
      <c r="Y50" s="1"/>
      <c r="Z50" s="1"/>
      <c r="AA50" s="1"/>
      <c r="AB50" s="126"/>
      <c r="AC50" s="1"/>
      <c r="AD50" s="1"/>
      <c r="AE50" s="12" t="s">
        <v>575</v>
      </c>
      <c r="AF50" s="5"/>
      <c r="AG50" s="112" t="s">
        <v>576</v>
      </c>
      <c r="AH50" s="5"/>
      <c r="AI50" s="5"/>
      <c r="AJ50" s="166">
        <v>9622</v>
      </c>
      <c r="AK50" s="5"/>
      <c r="AL50" s="5"/>
      <c r="AM50" s="51" t="s">
        <v>577</v>
      </c>
      <c r="AN50" s="5"/>
      <c r="AO50" s="5"/>
      <c r="AP50" s="12" t="s">
        <v>578</v>
      </c>
      <c r="AQ50" s="12"/>
      <c r="AR50" s="12"/>
      <c r="AS50" s="65" t="s">
        <v>579</v>
      </c>
      <c r="AT50" s="12" t="s">
        <v>579</v>
      </c>
      <c r="AU50" s="54"/>
      <c r="AV50" s="12"/>
      <c r="AW50" s="12"/>
      <c r="AX50" s="55" t="s">
        <v>580</v>
      </c>
      <c r="AY50" s="65" t="s">
        <v>581</v>
      </c>
      <c r="AZ50" s="54" t="s">
        <v>582</v>
      </c>
      <c r="BA50" s="13" t="s">
        <v>58</v>
      </c>
      <c r="BB50" s="13"/>
      <c r="BC50" s="13"/>
      <c r="BD50" s="58"/>
      <c r="BE50" s="59"/>
      <c r="BF50" s="1"/>
      <c r="BI50" s="114"/>
      <c r="BJ50" s="114"/>
    </row>
    <row r="51" spans="1:62" ht="13" thickBot="1" x14ac:dyDescent="0.3">
      <c r="A51" s="1"/>
      <c r="B51" s="28"/>
      <c r="C51" s="1"/>
      <c r="D51" s="1"/>
      <c r="E51" s="1"/>
      <c r="F51" s="1"/>
      <c r="G51" s="1"/>
      <c r="H51" s="1"/>
      <c r="I51" s="1"/>
      <c r="J51" s="1"/>
      <c r="K51" s="1"/>
      <c r="L51" s="1"/>
      <c r="M51" s="1"/>
      <c r="N51" s="1"/>
      <c r="O51" s="1"/>
      <c r="P51" s="1"/>
      <c r="Q51" s="1"/>
      <c r="R51" s="1"/>
      <c r="S51" s="1" t="s">
        <v>583</v>
      </c>
      <c r="T51" s="1"/>
      <c r="U51" s="1"/>
      <c r="V51" s="1"/>
      <c r="W51" s="1" t="s">
        <v>584</v>
      </c>
      <c r="X51" s="1"/>
      <c r="Y51" s="1"/>
      <c r="Z51" s="1"/>
      <c r="AA51" s="1"/>
      <c r="AB51" s="126"/>
      <c r="AC51" s="1"/>
      <c r="AD51" s="1"/>
      <c r="AE51" s="12" t="s">
        <v>585</v>
      </c>
      <c r="AF51" s="5"/>
      <c r="AG51" s="112" t="s">
        <v>586</v>
      </c>
      <c r="AH51" s="5"/>
      <c r="AI51" s="5"/>
      <c r="AJ51" s="167"/>
      <c r="AK51" s="5"/>
      <c r="AL51" s="5"/>
      <c r="AM51" s="51" t="s">
        <v>587</v>
      </c>
      <c r="AN51" s="5"/>
      <c r="AO51" s="5"/>
      <c r="AP51" s="12" t="s">
        <v>588</v>
      </c>
      <c r="AQ51" s="12"/>
      <c r="AR51" s="12"/>
      <c r="AS51" s="52" t="s">
        <v>589</v>
      </c>
      <c r="AT51" s="64" t="s">
        <v>589</v>
      </c>
      <c r="AU51" s="54"/>
      <c r="AV51" s="12"/>
      <c r="AW51" s="12"/>
      <c r="AX51" s="55"/>
      <c r="AY51" s="65" t="s">
        <v>590</v>
      </c>
      <c r="AZ51" s="54" t="s">
        <v>591</v>
      </c>
      <c r="BA51" s="13" t="s">
        <v>58</v>
      </c>
      <c r="BB51" s="13"/>
      <c r="BC51" s="13"/>
      <c r="BD51" s="58"/>
      <c r="BE51" s="59"/>
      <c r="BF51" s="1"/>
      <c r="BI51" s="114"/>
      <c r="BJ51" s="114"/>
    </row>
    <row r="52" spans="1:62" x14ac:dyDescent="0.25">
      <c r="A52" s="1"/>
      <c r="B52" s="28"/>
      <c r="C52" s="1" t="s">
        <v>592</v>
      </c>
      <c r="D52" s="1" t="s">
        <v>593</v>
      </c>
      <c r="E52" s="1" t="s">
        <v>594</v>
      </c>
      <c r="F52" s="1" t="s">
        <v>595</v>
      </c>
      <c r="G52" s="1" t="s">
        <v>593</v>
      </c>
      <c r="H52" s="1" t="s">
        <v>594</v>
      </c>
      <c r="I52" s="1" t="s">
        <v>596</v>
      </c>
      <c r="J52" s="1" t="s">
        <v>597</v>
      </c>
      <c r="K52" s="1" t="s">
        <v>598</v>
      </c>
      <c r="L52" s="140" t="s">
        <v>540</v>
      </c>
      <c r="M52" s="1"/>
      <c r="N52" s="1"/>
      <c r="O52" s="1"/>
      <c r="P52" s="1"/>
      <c r="Q52" s="1"/>
      <c r="R52" s="1"/>
      <c r="S52" s="1" t="s">
        <v>599</v>
      </c>
      <c r="T52" s="1"/>
      <c r="U52" s="1" t="s">
        <v>600</v>
      </c>
      <c r="V52" s="1"/>
      <c r="W52" s="1" t="s">
        <v>601</v>
      </c>
      <c r="X52" s="1"/>
      <c r="Y52" s="1" t="s">
        <v>600</v>
      </c>
      <c r="Z52" s="1"/>
      <c r="AA52" s="1" t="s">
        <v>602</v>
      </c>
      <c r="AB52" s="126"/>
      <c r="AC52" s="1"/>
      <c r="AD52" s="1"/>
      <c r="AE52" s="12"/>
      <c r="AF52" s="5"/>
      <c r="AG52" s="112" t="s">
        <v>603</v>
      </c>
      <c r="AH52" s="5"/>
      <c r="AI52" s="5"/>
      <c r="AJ52" s="5"/>
      <c r="AK52" s="5"/>
      <c r="AL52" s="5"/>
      <c r="AM52" s="51" t="s">
        <v>604</v>
      </c>
      <c r="AN52" s="5"/>
      <c r="AO52" s="5"/>
      <c r="AP52" s="12" t="s">
        <v>605</v>
      </c>
      <c r="AQ52" s="12"/>
      <c r="AR52" s="12"/>
      <c r="AS52" s="52" t="s">
        <v>606</v>
      </c>
      <c r="AT52" s="64" t="s">
        <v>606</v>
      </c>
      <c r="AU52" s="54"/>
      <c r="AV52" s="12"/>
      <c r="AW52" s="12"/>
      <c r="AX52" s="55" t="s">
        <v>607</v>
      </c>
      <c r="AY52" s="65" t="s">
        <v>608</v>
      </c>
      <c r="AZ52" s="54" t="s">
        <v>609</v>
      </c>
      <c r="BA52" s="13" t="s">
        <v>58</v>
      </c>
      <c r="BB52" s="13" t="s">
        <v>61</v>
      </c>
      <c r="BC52" s="13" t="s">
        <v>206</v>
      </c>
      <c r="BD52" s="58"/>
      <c r="BE52" s="59"/>
      <c r="BF52" s="1"/>
    </row>
    <row r="53" spans="1:62" x14ac:dyDescent="0.25">
      <c r="A53" s="1"/>
      <c r="B53" s="135" t="s">
        <v>610</v>
      </c>
      <c r="C53" s="168"/>
      <c r="D53" s="169"/>
      <c r="E53" s="169"/>
      <c r="F53" s="168"/>
      <c r="G53" s="169"/>
      <c r="H53" s="169"/>
      <c r="I53" s="170">
        <f>G53-D53</f>
        <v>0</v>
      </c>
      <c r="J53" s="170">
        <f>H53-E53</f>
        <v>0</v>
      </c>
      <c r="K53" s="170">
        <f>SQRT(I53^2+J53^2)</f>
        <v>0</v>
      </c>
      <c r="L53" s="170" t="e">
        <f>IF((450-DEGREES(ATAN2($I53,$J53)))&gt;360,((450-DEGREES(ATAN2($I53,$J53)))-360),(450-DEGREES(ATAN2($I53,$J53))))</f>
        <v>#DIV/0!</v>
      </c>
      <c r="M53" s="1"/>
      <c r="N53" s="1"/>
      <c r="O53" s="1"/>
      <c r="P53" s="1"/>
      <c r="Q53" s="1" t="s">
        <v>611</v>
      </c>
      <c r="R53" s="1"/>
      <c r="S53" s="118"/>
      <c r="T53" s="1"/>
      <c r="U53" s="118"/>
      <c r="V53" s="1"/>
      <c r="W53" s="118"/>
      <c r="X53" s="1"/>
      <c r="Y53" s="118"/>
      <c r="Z53" s="1"/>
      <c r="AA53" s="171">
        <f>W53-Y53</f>
        <v>0</v>
      </c>
      <c r="AB53" s="126"/>
      <c r="AC53" s="1"/>
      <c r="AD53" s="1"/>
      <c r="AE53" s="12"/>
      <c r="AF53" s="5"/>
      <c r="AG53" s="112" t="s">
        <v>612</v>
      </c>
      <c r="AH53" s="5"/>
      <c r="AI53" s="5"/>
      <c r="AJ53" s="5"/>
      <c r="AK53" s="5"/>
      <c r="AL53" s="5"/>
      <c r="AM53" s="51" t="s">
        <v>613</v>
      </c>
      <c r="AN53" s="5"/>
      <c r="AO53" s="5"/>
      <c r="AP53" s="12" t="s">
        <v>614</v>
      </c>
      <c r="AQ53" s="12"/>
      <c r="AR53" s="12"/>
      <c r="AS53" s="52" t="s">
        <v>615</v>
      </c>
      <c r="AT53" s="64" t="s">
        <v>616</v>
      </c>
      <c r="AU53" s="54"/>
      <c r="AV53" s="12"/>
      <c r="AW53" s="12"/>
      <c r="AX53" s="55" t="s">
        <v>617</v>
      </c>
      <c r="AY53" s="65" t="s">
        <v>618</v>
      </c>
      <c r="AZ53" s="54" t="s">
        <v>619</v>
      </c>
      <c r="BA53" s="13" t="s">
        <v>58</v>
      </c>
      <c r="BB53" s="13" t="s">
        <v>61</v>
      </c>
      <c r="BC53" s="13" t="s">
        <v>206</v>
      </c>
      <c r="BD53" s="58"/>
      <c r="BE53" s="59"/>
      <c r="BF53" s="1"/>
    </row>
    <row r="54" spans="1:62" x14ac:dyDescent="0.25">
      <c r="A54" s="1"/>
      <c r="B54" s="172" t="s">
        <v>74</v>
      </c>
      <c r="C54" s="168"/>
      <c r="D54" s="173"/>
      <c r="E54" s="174"/>
      <c r="F54" s="168"/>
      <c r="G54" s="174"/>
      <c r="H54" s="174"/>
      <c r="I54" s="170">
        <f>G54-D54</f>
        <v>0</v>
      </c>
      <c r="J54" s="170">
        <f>H54-E54</f>
        <v>0</v>
      </c>
      <c r="K54" s="170">
        <f>SQRT(I54^2+J54^2)</f>
        <v>0</v>
      </c>
      <c r="L54" s="170" t="e">
        <f>IF((450-DEGREES(ATAN2($I54,$J54)))&gt;360,((450-DEGREES(ATAN2($I54,$J54)))-360),(450-DEGREES(ATAN2($I54,$J54))))</f>
        <v>#DIV/0!</v>
      </c>
      <c r="M54" s="140"/>
      <c r="N54" s="140"/>
      <c r="O54" s="140"/>
      <c r="P54" s="140"/>
      <c r="Q54" s="140" t="s">
        <v>620</v>
      </c>
      <c r="R54" s="140"/>
      <c r="S54" s="118"/>
      <c r="T54" s="140"/>
      <c r="U54" s="118"/>
      <c r="V54" s="140"/>
      <c r="W54" s="118"/>
      <c r="X54" s="140"/>
      <c r="Y54" s="118"/>
      <c r="Z54" s="140"/>
      <c r="AA54" s="171">
        <f>W54-Y54</f>
        <v>0</v>
      </c>
      <c r="AB54" s="142"/>
      <c r="AC54" s="1"/>
      <c r="AD54" s="1"/>
      <c r="AE54" s="12"/>
      <c r="AF54" s="5"/>
      <c r="AG54" s="112" t="s">
        <v>621</v>
      </c>
      <c r="AH54" s="5"/>
      <c r="AI54" s="5"/>
      <c r="AJ54" s="5"/>
      <c r="AK54" s="5"/>
      <c r="AL54" s="5"/>
      <c r="AM54" s="51" t="s">
        <v>622</v>
      </c>
      <c r="AN54" s="5"/>
      <c r="AO54" s="5"/>
      <c r="AP54" s="12" t="s">
        <v>623</v>
      </c>
      <c r="AQ54" s="12"/>
      <c r="AR54" s="12"/>
      <c r="AS54" s="52" t="s">
        <v>624</v>
      </c>
      <c r="AT54" s="64" t="s">
        <v>616</v>
      </c>
      <c r="AU54" s="54"/>
      <c r="AV54" s="12"/>
      <c r="AW54" s="12"/>
      <c r="AX54" s="55" t="s">
        <v>625</v>
      </c>
      <c r="AY54" s="65" t="s">
        <v>626</v>
      </c>
      <c r="AZ54" s="54" t="s">
        <v>627</v>
      </c>
      <c r="BA54" s="13" t="s">
        <v>58</v>
      </c>
      <c r="BB54" s="13" t="s">
        <v>61</v>
      </c>
      <c r="BC54" s="13" t="s">
        <v>206</v>
      </c>
      <c r="BD54" s="58"/>
      <c r="BE54" s="59"/>
      <c r="BF54" s="1"/>
    </row>
    <row r="55" spans="1:6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41" t="s">
        <v>628</v>
      </c>
      <c r="AF55" s="5"/>
      <c r="AG55" s="112" t="s">
        <v>629</v>
      </c>
      <c r="AH55" s="5"/>
      <c r="AI55" s="5"/>
      <c r="AJ55" s="5"/>
      <c r="AK55" s="5"/>
      <c r="AL55" s="5"/>
      <c r="AM55" s="51" t="s">
        <v>630</v>
      </c>
      <c r="AN55" s="5"/>
      <c r="AO55" s="5"/>
      <c r="AP55" s="12" t="s">
        <v>631</v>
      </c>
      <c r="AQ55" s="12"/>
      <c r="AR55" s="12"/>
      <c r="AS55" s="52" t="s">
        <v>14</v>
      </c>
      <c r="AT55" s="64" t="s">
        <v>632</v>
      </c>
      <c r="AU55" s="54" t="s">
        <v>633</v>
      </c>
      <c r="AV55" s="12"/>
      <c r="AW55" s="12"/>
      <c r="AX55" s="55" t="s">
        <v>634</v>
      </c>
      <c r="AY55" s="65" t="s">
        <v>635</v>
      </c>
      <c r="AZ55" s="54" t="s">
        <v>636</v>
      </c>
      <c r="BA55" s="13" t="s">
        <v>58</v>
      </c>
      <c r="BB55" s="13"/>
      <c r="BC55" s="13"/>
      <c r="BD55" s="58"/>
      <c r="BE55" s="59"/>
      <c r="BF55" s="1"/>
    </row>
    <row r="56" spans="1:62" ht="13" x14ac:dyDescent="0.3">
      <c r="A56" s="1"/>
      <c r="B56" s="175" t="s">
        <v>637</v>
      </c>
      <c r="C56" s="1"/>
      <c r="D56" s="1"/>
      <c r="E56" s="1"/>
      <c r="F56" s="1"/>
      <c r="G56" s="1"/>
      <c r="H56" s="1"/>
      <c r="I56" s="1"/>
      <c r="J56" s="1"/>
      <c r="K56" s="1"/>
      <c r="L56" s="1"/>
      <c r="M56" s="1"/>
      <c r="N56" s="1"/>
      <c r="O56" s="1"/>
      <c r="P56" s="1"/>
      <c r="Q56" s="1"/>
      <c r="R56" s="1"/>
      <c r="S56" s="1"/>
      <c r="T56" s="1"/>
      <c r="U56" s="1"/>
      <c r="V56" s="1"/>
      <c r="W56" s="1"/>
      <c r="X56" s="1"/>
      <c r="Y56" s="1"/>
      <c r="Z56" s="78" t="s">
        <v>638</v>
      </c>
      <c r="AA56" s="380">
        <v>0.12334000000000001</v>
      </c>
      <c r="AB56" s="381"/>
      <c r="AC56" s="1"/>
      <c r="AD56" s="1"/>
      <c r="AE56" s="12" t="s">
        <v>95</v>
      </c>
      <c r="AF56" s="5"/>
      <c r="AG56" s="112" t="s">
        <v>639</v>
      </c>
      <c r="AH56" s="5"/>
      <c r="AI56" s="5"/>
      <c r="AJ56" s="5"/>
      <c r="AK56" s="5"/>
      <c r="AL56" s="5"/>
      <c r="AM56" s="51" t="s">
        <v>640</v>
      </c>
      <c r="AN56" s="5"/>
      <c r="AO56" s="5"/>
      <c r="AP56" s="12" t="s">
        <v>641</v>
      </c>
      <c r="AQ56" s="12"/>
      <c r="AR56" s="12"/>
      <c r="AS56" s="52" t="s">
        <v>642</v>
      </c>
      <c r="AT56" s="64" t="s">
        <v>632</v>
      </c>
      <c r="AU56" s="54" t="s">
        <v>643</v>
      </c>
      <c r="AV56" s="12"/>
      <c r="AW56" s="12"/>
      <c r="AX56" s="55"/>
      <c r="AY56" s="65" t="s">
        <v>644</v>
      </c>
      <c r="AZ56" s="54" t="s">
        <v>645</v>
      </c>
      <c r="BA56" s="13" t="s">
        <v>58</v>
      </c>
      <c r="BB56" s="13" t="s">
        <v>61</v>
      </c>
      <c r="BC56" s="13" t="s">
        <v>206</v>
      </c>
      <c r="BD56" s="58"/>
      <c r="BE56" s="59"/>
      <c r="BF56" s="1"/>
    </row>
    <row r="57" spans="1:62" ht="13" x14ac:dyDescent="0.3">
      <c r="A57" s="1"/>
      <c r="B57" s="176" t="s">
        <v>646</v>
      </c>
      <c r="C57" s="1"/>
      <c r="D57" s="1"/>
      <c r="E57" s="1"/>
      <c r="F57" s="1"/>
      <c r="G57" s="1"/>
      <c r="H57" s="1"/>
      <c r="I57" s="1"/>
      <c r="J57" s="1"/>
      <c r="K57" s="1"/>
      <c r="L57" s="1"/>
      <c r="M57" s="1"/>
      <c r="N57" s="1"/>
      <c r="O57" s="1"/>
      <c r="P57" s="1"/>
      <c r="Q57" s="68" t="s">
        <v>647</v>
      </c>
      <c r="R57" s="1"/>
      <c r="S57" s="1"/>
      <c r="T57" s="1"/>
      <c r="U57" s="1"/>
      <c r="V57" s="1"/>
      <c r="W57" s="1"/>
      <c r="X57" s="1"/>
      <c r="Y57" s="1"/>
      <c r="Z57" s="1"/>
      <c r="AA57" s="1"/>
      <c r="AB57" s="1"/>
      <c r="AC57" s="1"/>
      <c r="AD57" s="1"/>
      <c r="AE57" s="12" t="s">
        <v>648</v>
      </c>
      <c r="AF57" s="5"/>
      <c r="AG57" s="112" t="s">
        <v>649</v>
      </c>
      <c r="AM57" s="51" t="s">
        <v>650</v>
      </c>
      <c r="AP57" s="12" t="s">
        <v>651</v>
      </c>
      <c r="AS57" s="52" t="s">
        <v>652</v>
      </c>
      <c r="AT57" s="12" t="s">
        <v>632</v>
      </c>
      <c r="AU57" s="54" t="s">
        <v>653</v>
      </c>
      <c r="AY57" s="65" t="s">
        <v>654</v>
      </c>
      <c r="AZ57" s="54" t="s">
        <v>655</v>
      </c>
      <c r="BA57" s="13" t="s">
        <v>58</v>
      </c>
      <c r="BB57" s="13" t="s">
        <v>61</v>
      </c>
      <c r="BC57" s="13" t="s">
        <v>206</v>
      </c>
      <c r="BD57" s="58"/>
      <c r="BE57" s="59"/>
      <c r="BF57" s="1"/>
    </row>
    <row r="58" spans="1:62" ht="13" thickBot="1" x14ac:dyDescent="0.3">
      <c r="A58" s="1"/>
      <c r="B58" s="367"/>
      <c r="C58" s="368"/>
      <c r="D58" s="368"/>
      <c r="E58" s="368"/>
      <c r="F58" s="368"/>
      <c r="G58" s="368"/>
      <c r="H58" s="368"/>
      <c r="I58" s="368"/>
      <c r="J58" s="368"/>
      <c r="K58" s="368"/>
      <c r="L58" s="368"/>
      <c r="M58" s="368"/>
      <c r="N58" s="368"/>
      <c r="O58" s="369"/>
      <c r="P58" s="1"/>
      <c r="Q58" s="177" t="s">
        <v>656</v>
      </c>
      <c r="R58" s="1"/>
      <c r="S58" s="177" t="s">
        <v>657</v>
      </c>
      <c r="T58" s="1"/>
      <c r="U58" s="177" t="s">
        <v>658</v>
      </c>
      <c r="V58" s="1"/>
      <c r="W58" s="177" t="s">
        <v>659</v>
      </c>
      <c r="X58" s="1"/>
      <c r="Y58" s="177" t="s">
        <v>660</v>
      </c>
      <c r="Z58" s="1"/>
      <c r="AA58" s="1" t="s">
        <v>661</v>
      </c>
      <c r="AB58" s="178"/>
      <c r="AC58" s="176" t="s">
        <v>662</v>
      </c>
      <c r="AD58" s="176" t="s">
        <v>663</v>
      </c>
      <c r="AE58" s="12" t="s">
        <v>664</v>
      </c>
      <c r="AF58" s="5"/>
      <c r="AG58" s="112" t="s">
        <v>665</v>
      </c>
      <c r="AM58" s="51" t="s">
        <v>666</v>
      </c>
      <c r="AP58" s="12" t="s">
        <v>667</v>
      </c>
      <c r="AS58" s="65" t="s">
        <v>668</v>
      </c>
      <c r="AT58" s="12" t="s">
        <v>632</v>
      </c>
      <c r="AU58" s="54" t="s">
        <v>669</v>
      </c>
      <c r="AY58" s="65" t="s">
        <v>670</v>
      </c>
      <c r="AZ58" s="54" t="s">
        <v>671</v>
      </c>
      <c r="BA58" s="13" t="s">
        <v>58</v>
      </c>
      <c r="BB58" s="13" t="s">
        <v>61</v>
      </c>
      <c r="BC58" s="13" t="s">
        <v>206</v>
      </c>
      <c r="BD58" s="58"/>
      <c r="BE58" s="59"/>
      <c r="BF58" s="1"/>
    </row>
    <row r="59" spans="1:62" x14ac:dyDescent="0.25">
      <c r="A59" s="1"/>
      <c r="B59" s="370"/>
      <c r="C59" s="365"/>
      <c r="D59" s="365"/>
      <c r="E59" s="365"/>
      <c r="F59" s="365"/>
      <c r="G59" s="365"/>
      <c r="H59" s="365"/>
      <c r="I59" s="365"/>
      <c r="J59" s="365"/>
      <c r="K59" s="365"/>
      <c r="L59" s="365"/>
      <c r="M59" s="365"/>
      <c r="N59" s="365"/>
      <c r="O59" s="366"/>
      <c r="P59" s="30" t="s">
        <v>672</v>
      </c>
      <c r="Q59" s="347">
        <v>46092</v>
      </c>
      <c r="R59" s="348"/>
      <c r="S59" s="329">
        <v>9239</v>
      </c>
      <c r="T59" s="329"/>
      <c r="U59" s="330">
        <v>2766</v>
      </c>
      <c r="V59" s="330"/>
      <c r="W59" s="356" t="s">
        <v>673</v>
      </c>
      <c r="X59" s="357"/>
      <c r="Y59" s="329">
        <v>2107</v>
      </c>
      <c r="Z59" s="329"/>
      <c r="AA59" s="342" t="s">
        <v>674</v>
      </c>
      <c r="AB59" s="343"/>
      <c r="AC59" s="179">
        <v>7180</v>
      </c>
      <c r="AD59" s="179">
        <v>2700</v>
      </c>
      <c r="AE59" s="12" t="s">
        <v>675</v>
      </c>
      <c r="AF59" s="5"/>
      <c r="AG59" s="180" t="s">
        <v>676</v>
      </c>
      <c r="AK59" s="181">
        <f t="shared" ref="AK59:AK70" si="7">S59</f>
        <v>9239</v>
      </c>
      <c r="AL59" s="182">
        <f t="shared" ref="AL59:AL70" si="8">U59</f>
        <v>2766</v>
      </c>
      <c r="AM59" s="51" t="s">
        <v>677</v>
      </c>
      <c r="AN59" s="183">
        <f t="shared" ref="AN59:AN70" si="9">Q59</f>
        <v>46092</v>
      </c>
      <c r="AP59" s="12" t="s">
        <v>678</v>
      </c>
      <c r="AS59" s="65" t="s">
        <v>679</v>
      </c>
      <c r="AT59" s="12" t="s">
        <v>632</v>
      </c>
      <c r="AU59" s="54" t="s">
        <v>680</v>
      </c>
      <c r="AY59" s="65" t="s">
        <v>681</v>
      </c>
      <c r="AZ59" s="54" t="s">
        <v>682</v>
      </c>
      <c r="BA59" s="13" t="s">
        <v>58</v>
      </c>
      <c r="BB59" s="13" t="s">
        <v>61</v>
      </c>
      <c r="BC59" s="13" t="s">
        <v>206</v>
      </c>
      <c r="BD59" s="58"/>
      <c r="BE59" s="59"/>
      <c r="BF59" s="1"/>
    </row>
    <row r="60" spans="1:62" x14ac:dyDescent="0.25">
      <c r="A60" s="1"/>
      <c r="B60" s="364"/>
      <c r="C60" s="365"/>
      <c r="D60" s="365"/>
      <c r="E60" s="365"/>
      <c r="F60" s="365"/>
      <c r="G60" s="365"/>
      <c r="H60" s="365"/>
      <c r="I60" s="365"/>
      <c r="J60" s="365"/>
      <c r="K60" s="365"/>
      <c r="L60" s="365"/>
      <c r="M60" s="365"/>
      <c r="N60" s="365"/>
      <c r="O60" s="366"/>
      <c r="P60" s="30" t="s">
        <v>683</v>
      </c>
      <c r="Q60" s="347">
        <v>46092</v>
      </c>
      <c r="R60" s="348"/>
      <c r="S60" s="329">
        <v>9622</v>
      </c>
      <c r="T60" s="329"/>
      <c r="U60" s="330">
        <v>4364</v>
      </c>
      <c r="V60" s="330"/>
      <c r="W60" s="331" t="s">
        <v>48</v>
      </c>
      <c r="X60" s="332"/>
      <c r="Y60" s="329">
        <v>2107</v>
      </c>
      <c r="Z60" s="329"/>
      <c r="AA60" s="342" t="s">
        <v>674</v>
      </c>
      <c r="AB60" s="343"/>
      <c r="AC60" s="179"/>
      <c r="AD60" s="179"/>
      <c r="AE60" s="12" t="s">
        <v>684</v>
      </c>
      <c r="AF60" s="5"/>
      <c r="AG60" s="180" t="s">
        <v>685</v>
      </c>
      <c r="AK60" s="184">
        <f t="shared" si="7"/>
        <v>9622</v>
      </c>
      <c r="AL60" s="185">
        <f t="shared" si="8"/>
        <v>4364</v>
      </c>
      <c r="AM60" s="51" t="s">
        <v>686</v>
      </c>
      <c r="AN60" s="186">
        <f t="shared" si="9"/>
        <v>46092</v>
      </c>
      <c r="AP60" s="12" t="s">
        <v>687</v>
      </c>
      <c r="AS60" s="65" t="s">
        <v>688</v>
      </c>
      <c r="AT60" s="12" t="s">
        <v>632</v>
      </c>
      <c r="AU60" s="54" t="s">
        <v>689</v>
      </c>
      <c r="AY60" s="65" t="s">
        <v>690</v>
      </c>
      <c r="AZ60" s="54" t="s">
        <v>691</v>
      </c>
      <c r="BA60" s="13" t="s">
        <v>58</v>
      </c>
      <c r="BB60" s="13" t="s">
        <v>61</v>
      </c>
      <c r="BC60" s="13" t="s">
        <v>206</v>
      </c>
      <c r="BD60" s="58"/>
      <c r="BE60" s="59"/>
      <c r="BF60" s="1"/>
    </row>
    <row r="61" spans="1:62" x14ac:dyDescent="0.25">
      <c r="A61" s="1"/>
      <c r="B61" s="364"/>
      <c r="C61" s="365"/>
      <c r="D61" s="365"/>
      <c r="E61" s="365"/>
      <c r="F61" s="365"/>
      <c r="G61" s="365"/>
      <c r="H61" s="365"/>
      <c r="I61" s="365"/>
      <c r="J61" s="365"/>
      <c r="K61" s="365"/>
      <c r="L61" s="365"/>
      <c r="M61" s="365"/>
      <c r="N61" s="365"/>
      <c r="O61" s="366"/>
      <c r="P61" s="1"/>
      <c r="Q61" s="347">
        <v>46092</v>
      </c>
      <c r="R61" s="348"/>
      <c r="S61" s="329" t="s">
        <v>78</v>
      </c>
      <c r="T61" s="329"/>
      <c r="U61" s="330">
        <v>0</v>
      </c>
      <c r="V61" s="330"/>
      <c r="W61" s="331" t="s">
        <v>48</v>
      </c>
      <c r="X61" s="332"/>
      <c r="Y61" s="329">
        <v>2107</v>
      </c>
      <c r="Z61" s="329"/>
      <c r="AA61" s="342" t="s">
        <v>674</v>
      </c>
      <c r="AB61" s="343"/>
      <c r="AC61" s="179"/>
      <c r="AD61" s="179"/>
      <c r="AE61" s="12" t="s">
        <v>692</v>
      </c>
      <c r="AF61" s="5"/>
      <c r="AG61" s="180" t="s">
        <v>693</v>
      </c>
      <c r="AK61" s="184" t="str">
        <f t="shared" si="7"/>
        <v>Dummy</v>
      </c>
      <c r="AL61" s="185">
        <f t="shared" si="8"/>
        <v>0</v>
      </c>
      <c r="AM61" s="51" t="s">
        <v>694</v>
      </c>
      <c r="AN61" s="186">
        <f t="shared" si="9"/>
        <v>46092</v>
      </c>
      <c r="AP61" s="12" t="s">
        <v>695</v>
      </c>
      <c r="AS61" s="65" t="s">
        <v>696</v>
      </c>
      <c r="AT61" s="12" t="s">
        <v>632</v>
      </c>
      <c r="AU61" s="54" t="s">
        <v>697</v>
      </c>
      <c r="AY61" s="65" t="s">
        <v>698</v>
      </c>
      <c r="AZ61" s="54" t="s">
        <v>699</v>
      </c>
      <c r="BA61" s="13" t="s">
        <v>58</v>
      </c>
      <c r="BB61" s="13" t="s">
        <v>61</v>
      </c>
      <c r="BC61" s="13" t="s">
        <v>206</v>
      </c>
      <c r="BD61" s="58"/>
      <c r="BE61" s="59"/>
      <c r="BF61" s="1"/>
    </row>
    <row r="62" spans="1:62" x14ac:dyDescent="0.25">
      <c r="A62" s="1"/>
      <c r="B62" s="359"/>
      <c r="C62" s="360"/>
      <c r="D62" s="360"/>
      <c r="E62" s="360"/>
      <c r="F62" s="360"/>
      <c r="G62" s="360"/>
      <c r="H62" s="360"/>
      <c r="I62" s="360"/>
      <c r="J62" s="360"/>
      <c r="K62" s="360"/>
      <c r="L62" s="360"/>
      <c r="M62" s="360"/>
      <c r="N62" s="360"/>
      <c r="O62" s="361"/>
      <c r="P62" s="1"/>
      <c r="Q62" s="347">
        <v>46092</v>
      </c>
      <c r="R62" s="348"/>
      <c r="S62" s="329" t="s">
        <v>285</v>
      </c>
      <c r="T62" s="329"/>
      <c r="U62" s="362">
        <v>1118</v>
      </c>
      <c r="V62" s="363"/>
      <c r="W62" s="356" t="s">
        <v>48</v>
      </c>
      <c r="X62" s="357"/>
      <c r="Y62" s="358">
        <v>2107</v>
      </c>
      <c r="Z62" s="358"/>
      <c r="AA62" s="342" t="s">
        <v>674</v>
      </c>
      <c r="AB62" s="343"/>
      <c r="AC62" s="179"/>
      <c r="AD62" s="179"/>
      <c r="AE62" s="12"/>
      <c r="AF62" s="5"/>
      <c r="AG62" s="180" t="s">
        <v>700</v>
      </c>
      <c r="AK62" s="184" t="str">
        <f t="shared" si="7"/>
        <v>OBI</v>
      </c>
      <c r="AL62" s="185">
        <f t="shared" si="8"/>
        <v>1118</v>
      </c>
      <c r="AM62" s="51" t="s">
        <v>701</v>
      </c>
      <c r="AN62" s="186">
        <f t="shared" si="9"/>
        <v>46092</v>
      </c>
      <c r="AP62" s="12" t="s">
        <v>702</v>
      </c>
      <c r="AS62" s="65" t="s">
        <v>703</v>
      </c>
      <c r="AT62" s="12" t="s">
        <v>632</v>
      </c>
      <c r="AU62" s="54" t="s">
        <v>704</v>
      </c>
      <c r="AY62" s="65" t="s">
        <v>705</v>
      </c>
      <c r="AZ62" s="54" t="s">
        <v>706</v>
      </c>
      <c r="BA62" s="13" t="s">
        <v>58</v>
      </c>
      <c r="BB62" s="13"/>
      <c r="BC62" s="13"/>
      <c r="BD62" s="58"/>
      <c r="BE62" s="59"/>
      <c r="BF62" s="1"/>
    </row>
    <row r="63" spans="1:62" x14ac:dyDescent="0.25">
      <c r="A63" s="1"/>
      <c r="B63" s="359"/>
      <c r="C63" s="360"/>
      <c r="D63" s="360"/>
      <c r="E63" s="360"/>
      <c r="F63" s="360"/>
      <c r="G63" s="360"/>
      <c r="H63" s="360"/>
      <c r="I63" s="360"/>
      <c r="J63" s="360"/>
      <c r="K63" s="360"/>
      <c r="L63" s="360"/>
      <c r="M63" s="360"/>
      <c r="N63" s="360"/>
      <c r="O63" s="361"/>
      <c r="P63" s="1"/>
      <c r="Q63" s="347">
        <v>46092</v>
      </c>
      <c r="R63" s="348"/>
      <c r="S63" s="329" t="s">
        <v>270</v>
      </c>
      <c r="T63" s="329"/>
      <c r="U63" s="352">
        <v>1015</v>
      </c>
      <c r="V63" s="352"/>
      <c r="W63" s="331" t="s">
        <v>48</v>
      </c>
      <c r="X63" s="332"/>
      <c r="Y63" s="329">
        <v>2107</v>
      </c>
      <c r="Z63" s="329"/>
      <c r="AA63" s="342" t="s">
        <v>674</v>
      </c>
      <c r="AB63" s="343"/>
      <c r="AC63" s="187"/>
      <c r="AD63" s="187"/>
      <c r="AE63" s="12"/>
      <c r="AF63" s="5"/>
      <c r="AG63" s="180" t="s">
        <v>707</v>
      </c>
      <c r="AK63" s="184" t="str">
        <f t="shared" si="7"/>
        <v>ABI</v>
      </c>
      <c r="AL63" s="185">
        <f t="shared" si="8"/>
        <v>1015</v>
      </c>
      <c r="AM63" s="51" t="s">
        <v>708</v>
      </c>
      <c r="AN63" s="186">
        <f t="shared" si="9"/>
        <v>46092</v>
      </c>
      <c r="AP63" s="12" t="s">
        <v>709</v>
      </c>
      <c r="AS63" s="65" t="s">
        <v>710</v>
      </c>
      <c r="AT63" s="12" t="s">
        <v>632</v>
      </c>
      <c r="AU63" s="54" t="s">
        <v>711</v>
      </c>
      <c r="AY63" s="65" t="s">
        <v>712</v>
      </c>
      <c r="AZ63" s="54" t="s">
        <v>713</v>
      </c>
      <c r="BA63" s="13" t="s">
        <v>58</v>
      </c>
      <c r="BB63" s="13"/>
      <c r="BC63" s="13"/>
      <c r="BD63" s="58"/>
      <c r="BE63" s="59"/>
      <c r="BF63" s="1"/>
    </row>
    <row r="64" spans="1:62" x14ac:dyDescent="0.25">
      <c r="A64" s="1"/>
      <c r="B64" s="1" t="s">
        <v>628</v>
      </c>
      <c r="C64" s="1"/>
      <c r="D64" s="1"/>
      <c r="E64" s="353" t="s">
        <v>675</v>
      </c>
      <c r="F64" s="354"/>
      <c r="G64" s="354"/>
      <c r="H64" s="354"/>
      <c r="I64" s="354"/>
      <c r="J64" s="354"/>
      <c r="K64" s="354"/>
      <c r="L64" s="354"/>
      <c r="M64" s="354"/>
      <c r="N64" s="354"/>
      <c r="O64" s="355"/>
      <c r="P64" s="1"/>
      <c r="Q64" s="347">
        <v>46092</v>
      </c>
      <c r="R64" s="348"/>
      <c r="S64" s="329" t="s">
        <v>74</v>
      </c>
      <c r="T64" s="329"/>
      <c r="U64" s="330" t="s">
        <v>156</v>
      </c>
      <c r="V64" s="330"/>
      <c r="W64" s="358" t="s">
        <v>48</v>
      </c>
      <c r="X64" s="358"/>
      <c r="Y64" s="329">
        <v>2107</v>
      </c>
      <c r="Z64" s="329"/>
      <c r="AA64" s="342" t="s">
        <v>674</v>
      </c>
      <c r="AB64" s="343"/>
      <c r="AC64" s="187"/>
      <c r="AD64" s="187"/>
      <c r="AE64" s="41" t="s">
        <v>714</v>
      </c>
      <c r="AF64" s="5"/>
      <c r="AG64" s="180" t="s">
        <v>715</v>
      </c>
      <c r="AK64" s="184" t="str">
        <f t="shared" si="7"/>
        <v>DGPS</v>
      </c>
      <c r="AL64" s="185" t="str">
        <f t="shared" si="8"/>
        <v>5843S10542</v>
      </c>
      <c r="AM64" s="51" t="s">
        <v>716</v>
      </c>
      <c r="AN64" s="186">
        <f t="shared" si="9"/>
        <v>46092</v>
      </c>
      <c r="AP64" s="12" t="s">
        <v>717</v>
      </c>
      <c r="AS64" s="65" t="s">
        <v>718</v>
      </c>
      <c r="AT64" s="12" t="s">
        <v>719</v>
      </c>
      <c r="AU64" s="54"/>
      <c r="AY64" s="65" t="s">
        <v>720</v>
      </c>
      <c r="AZ64" s="54" t="s">
        <v>721</v>
      </c>
      <c r="BA64" s="13" t="s">
        <v>58</v>
      </c>
      <c r="BB64" s="13" t="s">
        <v>61</v>
      </c>
      <c r="BC64" s="13" t="s">
        <v>206</v>
      </c>
      <c r="BD64" s="58"/>
      <c r="BE64" s="59"/>
      <c r="BF64" s="1"/>
    </row>
    <row r="65" spans="1:58" x14ac:dyDescent="0.25">
      <c r="A65" s="1"/>
      <c r="B65" s="1" t="s">
        <v>714</v>
      </c>
      <c r="C65" s="1"/>
      <c r="D65" s="1"/>
      <c r="E65" s="353" t="s">
        <v>722</v>
      </c>
      <c r="F65" s="354"/>
      <c r="G65" s="354"/>
      <c r="H65" s="354"/>
      <c r="I65" s="354"/>
      <c r="J65" s="354"/>
      <c r="K65" s="354"/>
      <c r="L65" s="354"/>
      <c r="M65" s="354"/>
      <c r="N65" s="354"/>
      <c r="O65" s="355"/>
      <c r="P65" s="1"/>
      <c r="Q65" s="347">
        <v>46092</v>
      </c>
      <c r="R65" s="348"/>
      <c r="S65" s="329" t="s">
        <v>97</v>
      </c>
      <c r="T65" s="329"/>
      <c r="U65" s="330">
        <v>4521</v>
      </c>
      <c r="V65" s="330"/>
      <c r="W65" s="356"/>
      <c r="X65" s="357"/>
      <c r="Y65" s="329">
        <v>2107</v>
      </c>
      <c r="Z65" s="329"/>
      <c r="AA65" s="342" t="s">
        <v>674</v>
      </c>
      <c r="AB65" s="343"/>
      <c r="AC65" s="187"/>
      <c r="AD65" s="187"/>
      <c r="AE65" s="64" t="s">
        <v>95</v>
      </c>
      <c r="AF65" s="5"/>
      <c r="AG65" s="180" t="s">
        <v>723</v>
      </c>
      <c r="AK65" s="184" t="str">
        <f t="shared" si="7"/>
        <v>9012InRod</v>
      </c>
      <c r="AL65" s="185">
        <f t="shared" si="8"/>
        <v>4521</v>
      </c>
      <c r="AM65" s="51" t="s">
        <v>724</v>
      </c>
      <c r="AN65" s="186">
        <f t="shared" si="9"/>
        <v>46092</v>
      </c>
      <c r="AP65" s="12" t="s">
        <v>725</v>
      </c>
      <c r="AS65" s="65" t="s">
        <v>726</v>
      </c>
      <c r="AT65" s="12" t="s">
        <v>606</v>
      </c>
      <c r="AU65" s="54"/>
      <c r="AY65" s="65" t="s">
        <v>727</v>
      </c>
      <c r="AZ65" s="54" t="s">
        <v>728</v>
      </c>
      <c r="BA65" s="13" t="s">
        <v>58</v>
      </c>
      <c r="BB65" s="13"/>
      <c r="BC65" s="13"/>
      <c r="BD65" s="58"/>
      <c r="BE65" s="59"/>
      <c r="BF65" s="1"/>
    </row>
    <row r="66" spans="1:58" ht="13" thickBot="1" x14ac:dyDescent="0.3">
      <c r="A66" s="1"/>
      <c r="B66" s="176" t="s">
        <v>729</v>
      </c>
      <c r="C66" s="1"/>
      <c r="D66" s="1"/>
      <c r="E66" s="1"/>
      <c r="F66" s="1"/>
      <c r="G66" s="1"/>
      <c r="H66" s="1"/>
      <c r="I66" s="1"/>
      <c r="J66" s="1"/>
      <c r="K66" s="1"/>
      <c r="L66" s="1"/>
      <c r="M66" s="1"/>
      <c r="N66" s="1"/>
      <c r="O66" s="1"/>
      <c r="P66" s="1"/>
      <c r="Q66" s="347">
        <v>46092</v>
      </c>
      <c r="R66" s="348"/>
      <c r="S66" s="329" t="s">
        <v>246</v>
      </c>
      <c r="T66" s="329"/>
      <c r="U66" s="352">
        <v>6498</v>
      </c>
      <c r="V66" s="352"/>
      <c r="W66" s="331" t="s">
        <v>587</v>
      </c>
      <c r="X66" s="332"/>
      <c r="Y66" s="329">
        <v>2107</v>
      </c>
      <c r="Z66" s="329"/>
      <c r="AA66" s="342" t="s">
        <v>674</v>
      </c>
      <c r="AB66" s="343"/>
      <c r="AC66" s="187"/>
      <c r="AD66" s="187"/>
      <c r="AE66" s="12" t="s">
        <v>722</v>
      </c>
      <c r="AF66" s="5"/>
      <c r="AG66" s="180" t="s">
        <v>730</v>
      </c>
      <c r="AK66" s="184" t="str">
        <f t="shared" si="7"/>
        <v>NorthGyro</v>
      </c>
      <c r="AL66" s="185">
        <f t="shared" si="8"/>
        <v>6498</v>
      </c>
      <c r="AM66" s="51" t="s">
        <v>731</v>
      </c>
      <c r="AN66" s="186">
        <f t="shared" si="9"/>
        <v>46092</v>
      </c>
      <c r="AP66" s="14" t="s">
        <v>732</v>
      </c>
      <c r="AS66" s="65" t="s">
        <v>733</v>
      </c>
      <c r="AT66" s="12" t="s">
        <v>719</v>
      </c>
      <c r="AU66" s="54"/>
      <c r="AY66" s="65" t="s">
        <v>734</v>
      </c>
      <c r="AZ66" s="54" t="s">
        <v>735</v>
      </c>
      <c r="BA66" s="13" t="s">
        <v>58</v>
      </c>
      <c r="BB66" s="13"/>
      <c r="BC66" s="13"/>
      <c r="BD66" s="58"/>
      <c r="BE66" s="59"/>
      <c r="BF66" s="1"/>
    </row>
    <row r="67" spans="1:58" x14ac:dyDescent="0.25">
      <c r="A67" s="1"/>
      <c r="B67" s="349"/>
      <c r="C67" s="350"/>
      <c r="D67" s="350"/>
      <c r="E67" s="350"/>
      <c r="F67" s="350"/>
      <c r="G67" s="350"/>
      <c r="H67" s="350"/>
      <c r="I67" s="350"/>
      <c r="J67" s="350"/>
      <c r="K67" s="350"/>
      <c r="L67" s="350"/>
      <c r="M67" s="350"/>
      <c r="N67" s="350"/>
      <c r="O67" s="351"/>
      <c r="P67" s="1"/>
      <c r="Q67" s="347">
        <v>46092</v>
      </c>
      <c r="R67" s="348"/>
      <c r="S67" s="329" t="s">
        <v>257</v>
      </c>
      <c r="T67" s="329"/>
      <c r="U67" s="330">
        <v>6957</v>
      </c>
      <c r="V67" s="330"/>
      <c r="W67" s="331"/>
      <c r="X67" s="332"/>
      <c r="Y67" s="329">
        <v>2107</v>
      </c>
      <c r="Z67" s="329"/>
      <c r="AA67" s="342" t="s">
        <v>674</v>
      </c>
      <c r="AB67" s="343"/>
      <c r="AC67" s="187"/>
      <c r="AD67" s="187"/>
      <c r="AE67" s="12" t="s">
        <v>736</v>
      </c>
      <c r="AF67" s="5"/>
      <c r="AG67" s="156" t="s">
        <v>737</v>
      </c>
      <c r="AK67" s="184" t="str">
        <f t="shared" si="7"/>
        <v>GVGamma</v>
      </c>
      <c r="AL67" s="185">
        <f t="shared" si="8"/>
        <v>6957</v>
      </c>
      <c r="AM67" s="182" t="str">
        <f t="shared" ref="AM67:AM77" si="10">W59</f>
        <v>H003/21</v>
      </c>
      <c r="AN67" s="186">
        <f t="shared" si="9"/>
        <v>46092</v>
      </c>
      <c r="AP67" s="14" t="s">
        <v>738</v>
      </c>
      <c r="AS67" s="65" t="s">
        <v>739</v>
      </c>
      <c r="AT67" s="12" t="s">
        <v>719</v>
      </c>
      <c r="AU67" s="54"/>
      <c r="AY67" s="65" t="s">
        <v>740</v>
      </c>
      <c r="AZ67" s="54" t="s">
        <v>741</v>
      </c>
      <c r="BA67" s="13" t="s">
        <v>58</v>
      </c>
      <c r="BB67" s="13"/>
      <c r="BC67" s="13"/>
      <c r="BD67" s="58"/>
      <c r="BE67" s="59"/>
      <c r="BF67" s="1"/>
    </row>
    <row r="68" spans="1:58" x14ac:dyDescent="0.25">
      <c r="A68" s="1"/>
      <c r="B68" s="344"/>
      <c r="C68" s="345"/>
      <c r="D68" s="345"/>
      <c r="E68" s="345"/>
      <c r="F68" s="345"/>
      <c r="G68" s="345"/>
      <c r="H68" s="345"/>
      <c r="I68" s="345"/>
      <c r="J68" s="345"/>
      <c r="K68" s="345"/>
      <c r="L68" s="345"/>
      <c r="M68" s="345"/>
      <c r="N68" s="345"/>
      <c r="O68" s="346"/>
      <c r="P68" s="1"/>
      <c r="Q68" s="347"/>
      <c r="R68" s="348"/>
      <c r="S68" s="329"/>
      <c r="T68" s="329"/>
      <c r="U68" s="330"/>
      <c r="V68" s="330"/>
      <c r="W68" s="331"/>
      <c r="X68" s="332"/>
      <c r="Y68" s="329"/>
      <c r="Z68" s="329"/>
      <c r="AA68" s="327"/>
      <c r="AB68" s="327"/>
      <c r="AC68" s="187"/>
      <c r="AD68" s="187"/>
      <c r="AE68" s="12" t="s">
        <v>742</v>
      </c>
      <c r="AF68" s="5"/>
      <c r="AG68" s="156" t="s">
        <v>743</v>
      </c>
      <c r="AK68" s="184">
        <f t="shared" si="7"/>
        <v>0</v>
      </c>
      <c r="AL68" s="185">
        <f t="shared" si="8"/>
        <v>0</v>
      </c>
      <c r="AM68" s="185" t="str">
        <f t="shared" si="10"/>
        <v>-</v>
      </c>
      <c r="AN68" s="186">
        <f t="shared" si="9"/>
        <v>0</v>
      </c>
      <c r="AP68" s="14" t="s">
        <v>744</v>
      </c>
      <c r="AS68" s="65" t="s">
        <v>745</v>
      </c>
      <c r="AT68" s="12" t="s">
        <v>719</v>
      </c>
      <c r="AU68" s="54"/>
      <c r="AY68" s="65" t="s">
        <v>746</v>
      </c>
      <c r="AZ68" s="54" t="s">
        <v>747</v>
      </c>
      <c r="BA68" s="13" t="s">
        <v>58</v>
      </c>
      <c r="BB68" s="13"/>
      <c r="BC68" s="13"/>
      <c r="BD68" s="58"/>
      <c r="BE68" s="59"/>
      <c r="BF68" s="1"/>
    </row>
    <row r="69" spans="1:58" x14ac:dyDescent="0.25">
      <c r="A69" s="1"/>
      <c r="B69" s="333"/>
      <c r="C69" s="334"/>
      <c r="D69" s="334"/>
      <c r="E69" s="334"/>
      <c r="F69" s="334"/>
      <c r="G69" s="334"/>
      <c r="H69" s="334"/>
      <c r="I69" s="334"/>
      <c r="J69" s="334"/>
      <c r="K69" s="334"/>
      <c r="L69" s="334"/>
      <c r="M69" s="334"/>
      <c r="N69" s="334"/>
      <c r="O69" s="335"/>
      <c r="P69" s="1"/>
      <c r="Q69" s="328"/>
      <c r="R69" s="328"/>
      <c r="S69" s="329"/>
      <c r="T69" s="329"/>
      <c r="U69" s="330"/>
      <c r="V69" s="330"/>
      <c r="W69" s="331"/>
      <c r="X69" s="332"/>
      <c r="Y69" s="329"/>
      <c r="Z69" s="329"/>
      <c r="AA69" s="327"/>
      <c r="AB69" s="327"/>
      <c r="AC69" s="187"/>
      <c r="AD69" s="187"/>
      <c r="AE69" s="14"/>
      <c r="AF69" s="14"/>
      <c r="AG69" s="156" t="s">
        <v>748</v>
      </c>
      <c r="AK69" s="184">
        <f t="shared" si="7"/>
        <v>0</v>
      </c>
      <c r="AL69" s="185">
        <f t="shared" si="8"/>
        <v>0</v>
      </c>
      <c r="AM69" s="185" t="str">
        <f t="shared" si="10"/>
        <v>-</v>
      </c>
      <c r="AN69" s="186">
        <f t="shared" si="9"/>
        <v>0</v>
      </c>
      <c r="AP69" s="14" t="s">
        <v>749</v>
      </c>
      <c r="AS69" s="65" t="s">
        <v>750</v>
      </c>
      <c r="AT69" s="12" t="s">
        <v>750</v>
      </c>
      <c r="AU69" s="54"/>
      <c r="AY69" s="65" t="s">
        <v>751</v>
      </c>
      <c r="AZ69" s="54" t="s">
        <v>752</v>
      </c>
      <c r="BA69" s="13" t="s">
        <v>58</v>
      </c>
      <c r="BB69" s="13"/>
      <c r="BC69" s="13"/>
      <c r="BD69" s="58"/>
      <c r="BE69" s="59"/>
      <c r="BF69" s="1"/>
    </row>
    <row r="70" spans="1:58" ht="13" thickBot="1" x14ac:dyDescent="0.3">
      <c r="A70" s="1"/>
      <c r="B70" s="336"/>
      <c r="C70" s="337"/>
      <c r="D70" s="337"/>
      <c r="E70" s="337"/>
      <c r="F70" s="337"/>
      <c r="G70" s="337"/>
      <c r="H70" s="337"/>
      <c r="I70" s="337"/>
      <c r="J70" s="337"/>
      <c r="K70" s="337"/>
      <c r="L70" s="337"/>
      <c r="M70" s="337"/>
      <c r="N70" s="337"/>
      <c r="O70" s="338"/>
      <c r="P70" s="1"/>
      <c r="Q70" s="328"/>
      <c r="R70" s="328"/>
      <c r="S70" s="329"/>
      <c r="T70" s="329"/>
      <c r="U70" s="330"/>
      <c r="V70" s="330"/>
      <c r="W70" s="331"/>
      <c r="X70" s="332"/>
      <c r="Y70" s="329"/>
      <c r="Z70" s="329"/>
      <c r="AA70" s="327"/>
      <c r="AB70" s="327"/>
      <c r="AC70" s="187"/>
      <c r="AD70" s="187"/>
      <c r="AE70" s="14"/>
      <c r="AF70" s="14"/>
      <c r="AG70" s="156" t="s">
        <v>753</v>
      </c>
      <c r="AK70" s="188">
        <f t="shared" si="7"/>
        <v>0</v>
      </c>
      <c r="AL70" s="189">
        <f t="shared" si="8"/>
        <v>0</v>
      </c>
      <c r="AM70" s="185" t="str">
        <f t="shared" si="10"/>
        <v>-</v>
      </c>
      <c r="AN70" s="190">
        <f t="shared" si="9"/>
        <v>0</v>
      </c>
      <c r="AP70" s="14" t="s">
        <v>754</v>
      </c>
      <c r="AS70" s="65" t="s">
        <v>755</v>
      </c>
      <c r="AT70" s="12" t="s">
        <v>755</v>
      </c>
      <c r="AU70" s="54"/>
      <c r="AY70" s="65" t="s">
        <v>756</v>
      </c>
      <c r="AZ70" s="54" t="s">
        <v>757</v>
      </c>
      <c r="BA70" s="13" t="s">
        <v>58</v>
      </c>
      <c r="BB70" s="13"/>
      <c r="BC70" s="13"/>
      <c r="BD70" s="58"/>
      <c r="BE70" s="59"/>
      <c r="BF70" s="1"/>
    </row>
    <row r="71" spans="1:58" x14ac:dyDescent="0.25">
      <c r="A71" s="1"/>
      <c r="B71" s="336"/>
      <c r="C71" s="337"/>
      <c r="D71" s="337"/>
      <c r="E71" s="337"/>
      <c r="F71" s="337"/>
      <c r="G71" s="337"/>
      <c r="H71" s="337"/>
      <c r="I71" s="337"/>
      <c r="J71" s="337"/>
      <c r="K71" s="337"/>
      <c r="L71" s="337"/>
      <c r="M71" s="337"/>
      <c r="N71" s="337"/>
      <c r="O71" s="338"/>
      <c r="P71" s="1"/>
      <c r="Q71" s="1"/>
      <c r="R71" s="1"/>
      <c r="S71" s="1"/>
      <c r="T71" s="1"/>
      <c r="U71" s="1"/>
      <c r="V71" s="1"/>
      <c r="W71" s="1"/>
      <c r="X71" s="1"/>
      <c r="Y71" s="1"/>
      <c r="Z71" s="1"/>
      <c r="AA71" s="1"/>
      <c r="AB71" s="1"/>
      <c r="AC71" s="1"/>
      <c r="AD71" s="1"/>
      <c r="AE71" s="14"/>
      <c r="AF71" s="14"/>
      <c r="AG71" s="156" t="s">
        <v>758</v>
      </c>
      <c r="AK71" s="191"/>
      <c r="AM71" s="185" t="str">
        <f t="shared" si="10"/>
        <v>-</v>
      </c>
      <c r="AO71" s="191"/>
      <c r="AP71" s="191" t="s">
        <v>759</v>
      </c>
      <c r="AS71" s="65" t="s">
        <v>760</v>
      </c>
      <c r="AT71" s="12" t="s">
        <v>760</v>
      </c>
      <c r="AU71" s="54"/>
      <c r="AY71" s="65" t="s">
        <v>761</v>
      </c>
      <c r="AZ71" s="54" t="s">
        <v>762</v>
      </c>
      <c r="BA71" s="13" t="s">
        <v>58</v>
      </c>
      <c r="BB71" s="13"/>
      <c r="BC71" s="13"/>
      <c r="BD71" s="58"/>
      <c r="BE71" s="59"/>
      <c r="BF71" s="1"/>
    </row>
    <row r="72" spans="1:58" x14ac:dyDescent="0.25">
      <c r="A72" s="1"/>
      <c r="B72" s="336"/>
      <c r="C72" s="337"/>
      <c r="D72" s="337"/>
      <c r="E72" s="337"/>
      <c r="F72" s="337"/>
      <c r="G72" s="337"/>
      <c r="H72" s="337"/>
      <c r="I72" s="337"/>
      <c r="J72" s="337"/>
      <c r="K72" s="337"/>
      <c r="L72" s="337"/>
      <c r="M72" s="337"/>
      <c r="N72" s="337"/>
      <c r="O72" s="338"/>
      <c r="P72" s="1"/>
      <c r="Q72" s="1"/>
      <c r="R72" s="1"/>
      <c r="S72" s="1"/>
      <c r="T72" s="1"/>
      <c r="U72" s="1"/>
      <c r="V72" s="1"/>
      <c r="W72" s="1"/>
      <c r="X72" s="1"/>
      <c r="Y72" s="1"/>
      <c r="Z72" s="1"/>
      <c r="AA72" s="1"/>
      <c r="AB72" s="1"/>
      <c r="AC72" s="1"/>
      <c r="AD72" s="1"/>
      <c r="AG72" s="156" t="s">
        <v>763</v>
      </c>
      <c r="AH72" s="192"/>
      <c r="AM72" s="185" t="str">
        <f t="shared" si="10"/>
        <v>-</v>
      </c>
      <c r="AP72" s="14" t="s">
        <v>764</v>
      </c>
      <c r="AS72" s="65" t="s">
        <v>765</v>
      </c>
      <c r="AT72" s="12" t="s">
        <v>765</v>
      </c>
      <c r="AU72" s="54"/>
      <c r="AY72" s="65" t="s">
        <v>441</v>
      </c>
      <c r="AZ72" s="54" t="s">
        <v>766</v>
      </c>
      <c r="BA72" s="13" t="s">
        <v>58</v>
      </c>
      <c r="BB72" s="13"/>
      <c r="BC72" s="13"/>
      <c r="BD72" s="58"/>
      <c r="BE72" s="59"/>
      <c r="BF72" s="1"/>
    </row>
    <row r="73" spans="1:58" x14ac:dyDescent="0.25">
      <c r="A73" s="1"/>
      <c r="B73" s="336"/>
      <c r="C73" s="337"/>
      <c r="D73" s="337"/>
      <c r="E73" s="337"/>
      <c r="F73" s="337"/>
      <c r="G73" s="337"/>
      <c r="H73" s="337"/>
      <c r="I73" s="337"/>
      <c r="J73" s="337"/>
      <c r="K73" s="337"/>
      <c r="L73" s="337"/>
      <c r="M73" s="337"/>
      <c r="N73" s="337"/>
      <c r="O73" s="338"/>
      <c r="P73" s="1"/>
      <c r="Q73" s="1"/>
      <c r="R73" s="1"/>
      <c r="S73" s="1"/>
      <c r="T73" s="1"/>
      <c r="U73" s="1"/>
      <c r="V73" s="1"/>
      <c r="W73" s="1"/>
      <c r="X73" s="1"/>
      <c r="Y73" s="1"/>
      <c r="Z73" s="1"/>
      <c r="AA73" s="1"/>
      <c r="AB73" s="1"/>
      <c r="AC73" s="1"/>
      <c r="AD73" s="1"/>
      <c r="AE73" s="192" t="s">
        <v>97</v>
      </c>
      <c r="AG73" s="156" t="s">
        <v>767</v>
      </c>
      <c r="AH73" s="192"/>
      <c r="AM73" s="185">
        <f t="shared" si="10"/>
        <v>0</v>
      </c>
      <c r="AP73" s="14" t="s">
        <v>768</v>
      </c>
      <c r="AS73" s="65" t="s">
        <v>769</v>
      </c>
      <c r="AT73" s="12" t="s">
        <v>770</v>
      </c>
      <c r="AU73" s="54"/>
      <c r="AY73" s="65" t="s">
        <v>771</v>
      </c>
      <c r="AZ73" s="54" t="s">
        <v>772</v>
      </c>
      <c r="BA73" s="13" t="s">
        <v>58</v>
      </c>
      <c r="BB73" s="13"/>
      <c r="BC73" s="13"/>
      <c r="BD73" s="58"/>
      <c r="BE73" s="59"/>
      <c r="BF73" s="1"/>
    </row>
    <row r="74" spans="1:58" x14ac:dyDescent="0.25">
      <c r="A74" s="1"/>
      <c r="B74" s="339"/>
      <c r="C74" s="340"/>
      <c r="D74" s="340"/>
      <c r="E74" s="340"/>
      <c r="F74" s="340"/>
      <c r="G74" s="340"/>
      <c r="H74" s="340"/>
      <c r="I74" s="340"/>
      <c r="J74" s="340"/>
      <c r="K74" s="340"/>
      <c r="L74" s="340"/>
      <c r="M74" s="340"/>
      <c r="N74" s="340"/>
      <c r="O74" s="341"/>
      <c r="P74" s="1"/>
      <c r="Q74" s="1"/>
      <c r="R74" s="1"/>
      <c r="S74" s="1"/>
      <c r="T74" s="1"/>
      <c r="U74" s="1"/>
      <c r="V74" s="1"/>
      <c r="W74" s="1"/>
      <c r="X74" s="1"/>
      <c r="Y74" s="1"/>
      <c r="Z74" s="1"/>
      <c r="AA74" s="1"/>
      <c r="AB74" s="1"/>
      <c r="AC74" s="1"/>
      <c r="AD74" s="1"/>
      <c r="AE74" s="14" t="s">
        <v>285</v>
      </c>
      <c r="AF74" s="14"/>
      <c r="AG74" s="156" t="s">
        <v>773</v>
      </c>
      <c r="AM74" s="185" t="str">
        <f t="shared" si="10"/>
        <v>P_null</v>
      </c>
      <c r="AP74" s="14" t="s">
        <v>774</v>
      </c>
      <c r="AS74" s="65" t="s">
        <v>775</v>
      </c>
      <c r="AT74" s="12" t="s">
        <v>775</v>
      </c>
      <c r="AU74" s="54"/>
      <c r="AY74" s="65" t="s">
        <v>776</v>
      </c>
      <c r="AZ74" s="54" t="s">
        <v>777</v>
      </c>
      <c r="BA74" s="13" t="s">
        <v>58</v>
      </c>
      <c r="BB74" s="13"/>
      <c r="BC74" s="13"/>
      <c r="BD74" s="58"/>
      <c r="BE74" s="59"/>
      <c r="BF74" s="1"/>
    </row>
    <row r="75" spans="1:58" x14ac:dyDescent="0.25">
      <c r="A75" s="1"/>
      <c r="B75" s="1"/>
      <c r="C75" s="1"/>
      <c r="D75" s="1"/>
      <c r="E75" s="1"/>
      <c r="F75" s="1"/>
      <c r="G75" s="1"/>
      <c r="H75" s="1"/>
      <c r="I75" s="1"/>
      <c r="J75" s="69"/>
      <c r="K75" s="1"/>
      <c r="L75" s="1"/>
      <c r="M75" s="1"/>
      <c r="N75" s="1"/>
      <c r="O75" s="1"/>
      <c r="P75" s="1"/>
      <c r="Q75" s="1"/>
      <c r="R75" s="1"/>
      <c r="S75" s="1"/>
      <c r="T75" s="1"/>
      <c r="U75" s="1"/>
      <c r="V75" s="1"/>
      <c r="W75" s="1"/>
      <c r="X75" s="1"/>
      <c r="Y75" s="1"/>
      <c r="Z75" s="1"/>
      <c r="AA75" s="1"/>
      <c r="AB75" s="1"/>
      <c r="AC75" s="1"/>
      <c r="AD75" s="1"/>
      <c r="AE75" s="14" t="s">
        <v>270</v>
      </c>
      <c r="AF75" s="14"/>
      <c r="AG75" s="156" t="s">
        <v>778</v>
      </c>
      <c r="AM75" s="185">
        <f t="shared" si="10"/>
        <v>0</v>
      </c>
      <c r="AP75" s="14" t="s">
        <v>779</v>
      </c>
      <c r="AS75" s="65" t="s">
        <v>780</v>
      </c>
      <c r="AT75" s="12" t="s">
        <v>775</v>
      </c>
      <c r="AU75" s="54"/>
      <c r="AY75" s="65" t="s">
        <v>781</v>
      </c>
      <c r="AZ75" s="54" t="s">
        <v>782</v>
      </c>
      <c r="BA75" s="13" t="s">
        <v>58</v>
      </c>
      <c r="BB75" s="13"/>
      <c r="BC75" s="13"/>
      <c r="BD75" s="58"/>
      <c r="BE75" s="59"/>
      <c r="BF75" s="1"/>
    </row>
    <row r="76" spans="1:58" x14ac:dyDescent="0.25">
      <c r="A76" s="1"/>
      <c r="B76" s="1"/>
      <c r="C76" s="1"/>
      <c r="D76" s="1"/>
      <c r="E76" s="1"/>
      <c r="F76" s="1"/>
      <c r="G76" s="1"/>
      <c r="H76" s="1"/>
      <c r="I76" s="1"/>
      <c r="J76" s="69"/>
      <c r="K76" s="1"/>
      <c r="L76" s="1"/>
      <c r="M76" s="1"/>
      <c r="N76" s="1"/>
      <c r="O76" s="1"/>
      <c r="P76" s="1"/>
      <c r="Q76" s="1"/>
      <c r="R76" s="1"/>
      <c r="S76" s="1"/>
      <c r="T76" s="1"/>
      <c r="U76" s="1"/>
      <c r="V76" s="1"/>
      <c r="W76" s="1"/>
      <c r="X76" s="1"/>
      <c r="Y76" s="1"/>
      <c r="Z76" s="1"/>
      <c r="AA76" s="1"/>
      <c r="AB76" s="1"/>
      <c r="AC76" s="1"/>
      <c r="AD76" s="1"/>
      <c r="AE76" s="192" t="s">
        <v>246</v>
      </c>
      <c r="AG76" s="156" t="s">
        <v>783</v>
      </c>
      <c r="AM76" s="185">
        <f t="shared" si="10"/>
        <v>0</v>
      </c>
      <c r="AP76" s="14" t="s">
        <v>784</v>
      </c>
      <c r="AS76" s="65" t="s">
        <v>785</v>
      </c>
      <c r="AT76" s="12" t="s">
        <v>786</v>
      </c>
      <c r="AU76" s="54"/>
      <c r="AY76" s="65" t="s">
        <v>787</v>
      </c>
      <c r="AZ76" s="54" t="s">
        <v>788</v>
      </c>
      <c r="BA76" s="13" t="s">
        <v>58</v>
      </c>
      <c r="BB76" s="13"/>
      <c r="BC76" s="13"/>
      <c r="BD76" s="58"/>
      <c r="BE76" s="59"/>
      <c r="BF76" s="1"/>
    </row>
    <row r="77" spans="1:58" x14ac:dyDescent="0.25">
      <c r="AE77" s="192" t="s">
        <v>257</v>
      </c>
      <c r="AG77" s="156" t="s">
        <v>789</v>
      </c>
      <c r="AM77" s="185">
        <f t="shared" si="10"/>
        <v>0</v>
      </c>
      <c r="AP77" s="14" t="s">
        <v>790</v>
      </c>
      <c r="AS77" s="65" t="s">
        <v>791</v>
      </c>
      <c r="AT77" s="12" t="s">
        <v>791</v>
      </c>
      <c r="AU77" s="54"/>
      <c r="AY77" s="65" t="s">
        <v>792</v>
      </c>
      <c r="AZ77" s="54" t="s">
        <v>793</v>
      </c>
      <c r="BA77" s="13" t="s">
        <v>58</v>
      </c>
      <c r="BB77" s="13"/>
      <c r="BC77" s="13"/>
      <c r="BD77" s="58"/>
      <c r="BE77" s="59"/>
    </row>
    <row r="78" spans="1:58" ht="13" thickBot="1" x14ac:dyDescent="0.3">
      <c r="AG78" s="156" t="s">
        <v>794</v>
      </c>
      <c r="AM78" s="189">
        <f>W70</f>
        <v>0</v>
      </c>
      <c r="AP78" s="14" t="s">
        <v>795</v>
      </c>
      <c r="AS78" s="65"/>
      <c r="AT78" s="12"/>
      <c r="AU78" s="54"/>
      <c r="AY78" s="14" t="s">
        <v>796</v>
      </c>
      <c r="AZ78" s="14" t="s">
        <v>797</v>
      </c>
      <c r="BA78" s="13"/>
      <c r="BB78" s="13"/>
      <c r="BC78" s="13"/>
      <c r="BD78" s="58"/>
      <c r="BE78" s="59"/>
    </row>
    <row r="79" spans="1:58" x14ac:dyDescent="0.25">
      <c r="AG79" s="156" t="s">
        <v>798</v>
      </c>
      <c r="AP79" s="14" t="s">
        <v>799</v>
      </c>
      <c r="AS79" s="193"/>
      <c r="AU79" s="194"/>
      <c r="AY79" s="14" t="s">
        <v>800</v>
      </c>
      <c r="AZ79" s="14" t="s">
        <v>801</v>
      </c>
      <c r="BA79" s="13"/>
      <c r="BB79" s="13"/>
      <c r="BC79" s="13"/>
      <c r="BD79" s="58"/>
      <c r="BE79" s="59"/>
    </row>
    <row r="80" spans="1:58" x14ac:dyDescent="0.25">
      <c r="AG80" s="156" t="s">
        <v>802</v>
      </c>
      <c r="AP80" s="14" t="s">
        <v>803</v>
      </c>
      <c r="AS80" s="193"/>
      <c r="AU80" s="194"/>
      <c r="AY80" s="14" t="s">
        <v>804</v>
      </c>
      <c r="AZ80" s="14" t="s">
        <v>805</v>
      </c>
      <c r="BA80" s="13"/>
      <c r="BB80" s="13"/>
      <c r="BC80" s="13"/>
      <c r="BD80" s="58"/>
      <c r="BE80" s="59"/>
    </row>
    <row r="81" spans="33:57" x14ac:dyDescent="0.25">
      <c r="AG81" s="156"/>
      <c r="AP81" s="14" t="s">
        <v>806</v>
      </c>
      <c r="AS81" s="193"/>
      <c r="AU81" s="194"/>
      <c r="BA81" s="13"/>
      <c r="BB81" s="13"/>
      <c r="BC81" s="13"/>
      <c r="BD81" s="58"/>
      <c r="BE81" s="59"/>
    </row>
    <row r="82" spans="33:57" x14ac:dyDescent="0.25">
      <c r="AG82" s="156"/>
      <c r="AP82" s="14" t="s">
        <v>807</v>
      </c>
      <c r="AS82" s="193"/>
      <c r="AU82" s="194"/>
      <c r="BA82" s="13"/>
      <c r="BB82" s="13"/>
      <c r="BC82" s="13"/>
      <c r="BD82" s="58"/>
      <c r="BE82" s="59"/>
    </row>
    <row r="83" spans="33:57" x14ac:dyDescent="0.25">
      <c r="AG83" s="156"/>
      <c r="AP83" s="14" t="s">
        <v>808</v>
      </c>
      <c r="AS83" s="193"/>
      <c r="AU83" s="194"/>
      <c r="BA83" s="13"/>
      <c r="BB83" s="13"/>
      <c r="BC83" s="13"/>
      <c r="BD83" s="58"/>
      <c r="BE83" s="59"/>
    </row>
    <row r="84" spans="33:57" x14ac:dyDescent="0.25">
      <c r="AG84" s="156"/>
      <c r="AP84" s="14" t="s">
        <v>809</v>
      </c>
      <c r="AS84" s="193"/>
      <c r="AU84" s="194"/>
      <c r="BA84" s="13"/>
      <c r="BB84" s="13"/>
      <c r="BC84" s="13"/>
      <c r="BD84" s="58"/>
      <c r="BE84" s="59"/>
    </row>
    <row r="85" spans="33:57" x14ac:dyDescent="0.25">
      <c r="AG85" s="156"/>
      <c r="AP85" s="14" t="s">
        <v>810</v>
      </c>
      <c r="AS85" s="193"/>
      <c r="AU85" s="194"/>
      <c r="BA85" s="13"/>
      <c r="BB85" s="13"/>
      <c r="BC85" s="13"/>
      <c r="BD85" s="58"/>
      <c r="BE85" s="59"/>
    </row>
    <row r="86" spans="33:57" x14ac:dyDescent="0.25">
      <c r="AG86" s="156"/>
      <c r="AP86" s="14" t="s">
        <v>811</v>
      </c>
      <c r="AS86" s="193"/>
      <c r="AU86" s="194"/>
      <c r="BA86" s="13"/>
      <c r="BB86" s="13"/>
      <c r="BC86" s="13"/>
      <c r="BD86" s="58"/>
      <c r="BE86" s="59"/>
    </row>
    <row r="87" spans="33:57" x14ac:dyDescent="0.25">
      <c r="AG87" s="156"/>
      <c r="AP87" s="14" t="s">
        <v>812</v>
      </c>
      <c r="AS87" s="193"/>
      <c r="AU87" s="194"/>
      <c r="BA87" s="13"/>
      <c r="BB87" s="13"/>
      <c r="BC87" s="13"/>
      <c r="BD87" s="58"/>
      <c r="BE87" s="59"/>
    </row>
    <row r="88" spans="33:57" x14ac:dyDescent="0.25">
      <c r="AG88" s="156"/>
      <c r="AP88" s="14" t="s">
        <v>813</v>
      </c>
      <c r="AS88" s="193"/>
      <c r="AU88" s="194"/>
      <c r="BA88" s="13"/>
      <c r="BB88" s="13"/>
      <c r="BC88" s="13"/>
      <c r="BD88" s="58"/>
      <c r="BE88" s="59"/>
    </row>
    <row r="89" spans="33:57" x14ac:dyDescent="0.25">
      <c r="AG89" s="156"/>
      <c r="AP89" s="14" t="s">
        <v>814</v>
      </c>
      <c r="AS89" s="193"/>
      <c r="AU89" s="194"/>
      <c r="BA89" s="13"/>
      <c r="BB89" s="13"/>
      <c r="BC89" s="13"/>
      <c r="BD89" s="58"/>
      <c r="BE89" s="59"/>
    </row>
    <row r="90" spans="33:57" x14ac:dyDescent="0.25">
      <c r="AG90" s="156"/>
      <c r="AP90" s="14" t="s">
        <v>815</v>
      </c>
      <c r="AS90" s="193"/>
      <c r="AU90" s="194"/>
      <c r="BA90" s="13"/>
      <c r="BB90" s="13"/>
      <c r="BC90" s="13"/>
      <c r="BD90" s="58"/>
      <c r="BE90" s="59"/>
    </row>
    <row r="91" spans="33:57" x14ac:dyDescent="0.25">
      <c r="AG91" s="195"/>
      <c r="AP91" s="14" t="s">
        <v>816</v>
      </c>
      <c r="AS91" s="193"/>
      <c r="AU91" s="194"/>
      <c r="BA91" s="13"/>
      <c r="BB91" s="13"/>
      <c r="BC91" s="13"/>
      <c r="BD91" s="58"/>
      <c r="BE91" s="59"/>
    </row>
    <row r="92" spans="33:57" x14ac:dyDescent="0.25">
      <c r="AG92" s="195"/>
      <c r="AP92" s="14" t="s">
        <v>817</v>
      </c>
      <c r="AS92" s="193"/>
      <c r="AU92" s="194"/>
      <c r="BA92" s="13"/>
      <c r="BB92" s="13"/>
      <c r="BC92" s="13"/>
      <c r="BD92" s="58"/>
      <c r="BE92" s="59"/>
    </row>
    <row r="93" spans="33:57" x14ac:dyDescent="0.25">
      <c r="AG93" s="195"/>
      <c r="AP93" s="14" t="s">
        <v>818</v>
      </c>
      <c r="AS93" s="193"/>
      <c r="AU93" s="194"/>
      <c r="BA93" s="13"/>
      <c r="BB93" s="13"/>
      <c r="BC93" s="13"/>
      <c r="BD93" s="58"/>
      <c r="BE93" s="59"/>
    </row>
    <row r="94" spans="33:57" x14ac:dyDescent="0.25">
      <c r="AG94" s="195"/>
      <c r="AP94" s="14" t="s">
        <v>819</v>
      </c>
      <c r="AS94" s="193"/>
      <c r="AU94" s="194"/>
      <c r="BA94" s="13"/>
      <c r="BB94" s="13"/>
      <c r="BC94" s="13"/>
      <c r="BD94" s="58"/>
      <c r="BE94" s="59"/>
    </row>
    <row r="95" spans="33:57" x14ac:dyDescent="0.25">
      <c r="AG95" s="195"/>
      <c r="AP95" s="14" t="s">
        <v>820</v>
      </c>
      <c r="AS95" s="193"/>
      <c r="AU95" s="194"/>
      <c r="BA95" s="13"/>
      <c r="BB95" s="13"/>
      <c r="BC95" s="13"/>
      <c r="BD95" s="58"/>
      <c r="BE95" s="59"/>
    </row>
    <row r="96" spans="33:57" x14ac:dyDescent="0.25">
      <c r="AG96" s="195"/>
      <c r="AP96" s="14" t="s">
        <v>821</v>
      </c>
      <c r="AS96" s="193"/>
      <c r="AU96" s="194"/>
      <c r="BA96" s="13"/>
      <c r="BB96" s="13"/>
      <c r="BC96" s="13"/>
      <c r="BD96" s="58"/>
      <c r="BE96" s="59"/>
    </row>
    <row r="97" spans="33:57" x14ac:dyDescent="0.25">
      <c r="AG97" s="195"/>
      <c r="AP97" s="14" t="s">
        <v>822</v>
      </c>
      <c r="AS97" s="193"/>
      <c r="AU97" s="194"/>
      <c r="BA97" s="13"/>
      <c r="BB97" s="13"/>
      <c r="BC97" s="13"/>
      <c r="BD97" s="58"/>
      <c r="BE97" s="59"/>
    </row>
    <row r="98" spans="33:57" x14ac:dyDescent="0.25">
      <c r="AG98" s="195"/>
      <c r="AP98" s="14" t="s">
        <v>823</v>
      </c>
      <c r="AS98" s="193"/>
      <c r="AU98" s="194"/>
      <c r="BA98" s="13"/>
      <c r="BB98" s="13"/>
      <c r="BC98" s="13"/>
      <c r="BD98" s="58"/>
      <c r="BE98" s="59"/>
    </row>
    <row r="99" spans="33:57" x14ac:dyDescent="0.25">
      <c r="AG99" s="195"/>
      <c r="AP99" s="14" t="s">
        <v>824</v>
      </c>
      <c r="AS99" s="193"/>
      <c r="AU99" s="194"/>
      <c r="BA99" s="13"/>
      <c r="BB99" s="13"/>
      <c r="BC99" s="13"/>
      <c r="BD99" s="58"/>
      <c r="BE99" s="59"/>
    </row>
    <row r="100" spans="33:57" x14ac:dyDescent="0.25">
      <c r="AG100" s="195"/>
      <c r="AP100" s="14" t="s">
        <v>825</v>
      </c>
      <c r="AS100" s="193"/>
      <c r="AU100" s="194"/>
      <c r="BA100" s="13"/>
      <c r="BB100" s="13"/>
      <c r="BC100" s="13"/>
      <c r="BD100" s="58"/>
      <c r="BE100" s="59"/>
    </row>
    <row r="101" spans="33:57" x14ac:dyDescent="0.25">
      <c r="AG101" s="195"/>
      <c r="AP101" s="14" t="s">
        <v>826</v>
      </c>
      <c r="AS101" s="193"/>
      <c r="AU101" s="194"/>
      <c r="BA101" s="13"/>
      <c r="BB101" s="13"/>
      <c r="BC101" s="13"/>
      <c r="BD101" s="58"/>
      <c r="BE101" s="59"/>
    </row>
    <row r="102" spans="33:57" x14ac:dyDescent="0.25">
      <c r="AG102" s="195"/>
      <c r="AP102" s="14" t="s">
        <v>827</v>
      </c>
      <c r="AS102" s="193"/>
      <c r="AU102" s="194"/>
      <c r="BA102" s="13"/>
      <c r="BB102" s="13"/>
      <c r="BC102" s="13"/>
      <c r="BD102" s="58"/>
      <c r="BE102" s="59"/>
    </row>
    <row r="103" spans="33:57" x14ac:dyDescent="0.25">
      <c r="AG103" s="195"/>
      <c r="AP103" s="14" t="s">
        <v>828</v>
      </c>
      <c r="AS103" s="193"/>
      <c r="AU103" s="194"/>
      <c r="BA103" s="13"/>
      <c r="BB103" s="13"/>
      <c r="BC103" s="13"/>
      <c r="BD103" s="58"/>
      <c r="BE103" s="59"/>
    </row>
    <row r="104" spans="33:57" x14ac:dyDescent="0.25">
      <c r="AG104" s="195"/>
      <c r="AP104" s="14" t="s">
        <v>829</v>
      </c>
      <c r="AS104" s="193"/>
      <c r="AU104" s="194"/>
      <c r="BA104" s="13"/>
      <c r="BB104" s="13"/>
      <c r="BC104" s="13"/>
      <c r="BD104" s="58"/>
      <c r="BE104" s="59"/>
    </row>
    <row r="105" spans="33:57" x14ac:dyDescent="0.25">
      <c r="AG105" s="195"/>
      <c r="AP105" s="14" t="s">
        <v>830</v>
      </c>
      <c r="AS105" s="193"/>
      <c r="AU105" s="194"/>
      <c r="BA105" s="13"/>
      <c r="BB105" s="13"/>
      <c r="BC105" s="13"/>
      <c r="BD105" s="58"/>
      <c r="BE105" s="59"/>
    </row>
    <row r="106" spans="33:57" x14ac:dyDescent="0.25">
      <c r="AG106" s="195"/>
      <c r="AP106" s="14" t="s">
        <v>831</v>
      </c>
      <c r="AS106" s="193"/>
      <c r="AU106" s="194"/>
      <c r="BA106" s="13"/>
      <c r="BB106" s="13"/>
      <c r="BC106" s="13"/>
      <c r="BD106" s="58"/>
      <c r="BE106" s="59"/>
    </row>
    <row r="107" spans="33:57" x14ac:dyDescent="0.25">
      <c r="AG107" s="195"/>
      <c r="AP107" s="14" t="s">
        <v>832</v>
      </c>
      <c r="AS107" s="193"/>
      <c r="AU107" s="194"/>
      <c r="BA107" s="13"/>
      <c r="BB107" s="13"/>
      <c r="BC107" s="13"/>
      <c r="BD107" s="58"/>
      <c r="BE107" s="59"/>
    </row>
    <row r="108" spans="33:57" ht="13" thickBot="1" x14ac:dyDescent="0.3">
      <c r="AG108" s="195"/>
      <c r="AP108" s="14" t="s">
        <v>833</v>
      </c>
      <c r="AS108" s="196"/>
      <c r="AT108" s="197"/>
      <c r="AU108" s="198"/>
      <c r="BA108" s="13"/>
      <c r="BB108" s="13"/>
      <c r="BC108" s="13"/>
      <c r="BD108" s="58"/>
      <c r="BE108" s="59"/>
    </row>
    <row r="109" spans="33:57" x14ac:dyDescent="0.25">
      <c r="AG109" s="195"/>
      <c r="AP109" s="14" t="s">
        <v>834</v>
      </c>
      <c r="BD109" s="58"/>
      <c r="BE109" s="59"/>
    </row>
    <row r="110" spans="33:57" x14ac:dyDescent="0.25">
      <c r="AG110" s="195"/>
      <c r="AP110" s="14" t="s">
        <v>835</v>
      </c>
      <c r="BD110" s="58"/>
      <c r="BE110" s="59"/>
    </row>
    <row r="111" spans="33:57" x14ac:dyDescent="0.25">
      <c r="AG111" s="195"/>
      <c r="AP111" s="14" t="s">
        <v>836</v>
      </c>
      <c r="BD111" s="58"/>
      <c r="BE111" s="59"/>
    </row>
    <row r="112" spans="33:57" x14ac:dyDescent="0.25">
      <c r="AG112" s="195"/>
      <c r="AP112" s="14" t="s">
        <v>837</v>
      </c>
      <c r="BD112" s="58"/>
      <c r="BE112" s="59"/>
    </row>
    <row r="113" spans="33:57" x14ac:dyDescent="0.25">
      <c r="AG113" s="195"/>
      <c r="AP113" s="14" t="s">
        <v>838</v>
      </c>
      <c r="BD113" s="58"/>
      <c r="BE113" s="59"/>
    </row>
    <row r="114" spans="33:57" x14ac:dyDescent="0.25">
      <c r="AG114" s="195"/>
      <c r="AP114" s="14" t="s">
        <v>839</v>
      </c>
      <c r="BD114" s="58"/>
      <c r="BE114" s="59"/>
    </row>
    <row r="115" spans="33:57" x14ac:dyDescent="0.25">
      <c r="AG115" s="195"/>
      <c r="AP115" s="14" t="s">
        <v>840</v>
      </c>
      <c r="BD115" s="58"/>
      <c r="BE115" s="59"/>
    </row>
    <row r="116" spans="33:57" x14ac:dyDescent="0.25">
      <c r="AG116" s="195"/>
      <c r="AP116" s="14" t="s">
        <v>841</v>
      </c>
      <c r="BD116" s="58"/>
      <c r="BE116" s="59"/>
    </row>
    <row r="117" spans="33:57" x14ac:dyDescent="0.25">
      <c r="AG117" s="195"/>
      <c r="AP117" s="14" t="s">
        <v>842</v>
      </c>
      <c r="BD117" s="58"/>
      <c r="BE117" s="59"/>
    </row>
    <row r="118" spans="33:57" x14ac:dyDescent="0.25">
      <c r="AG118" s="195"/>
      <c r="AP118" s="14" t="s">
        <v>843</v>
      </c>
      <c r="BD118" s="58"/>
      <c r="BE118" s="59"/>
    </row>
    <row r="119" spans="33:57" x14ac:dyDescent="0.25">
      <c r="AG119" s="195"/>
      <c r="AP119" s="14" t="s">
        <v>844</v>
      </c>
      <c r="BD119" s="58"/>
      <c r="BE119" s="59"/>
    </row>
    <row r="120" spans="33:57" x14ac:dyDescent="0.25">
      <c r="AG120" s="195"/>
      <c r="AP120" s="14" t="s">
        <v>845</v>
      </c>
      <c r="BD120" s="58"/>
      <c r="BE120" s="59"/>
    </row>
    <row r="121" spans="33:57" x14ac:dyDescent="0.25">
      <c r="AG121" s="195"/>
      <c r="AP121" s="14" t="s">
        <v>846</v>
      </c>
      <c r="BD121" s="58"/>
      <c r="BE121" s="59"/>
    </row>
    <row r="122" spans="33:57" x14ac:dyDescent="0.25">
      <c r="AG122" s="195"/>
      <c r="AP122" s="14" t="s">
        <v>847</v>
      </c>
      <c r="BD122" s="58"/>
      <c r="BE122" s="59"/>
    </row>
    <row r="123" spans="33:57" x14ac:dyDescent="0.25">
      <c r="AG123" s="195"/>
      <c r="AP123" s="14" t="s">
        <v>848</v>
      </c>
      <c r="BD123" s="58"/>
      <c r="BE123" s="59"/>
    </row>
    <row r="124" spans="33:57" x14ac:dyDescent="0.25">
      <c r="AG124" s="195"/>
      <c r="AP124" s="14" t="s">
        <v>849</v>
      </c>
      <c r="BD124" s="58"/>
      <c r="BE124" s="59"/>
    </row>
    <row r="125" spans="33:57" x14ac:dyDescent="0.25">
      <c r="AG125" s="195"/>
      <c r="AP125" s="14" t="s">
        <v>850</v>
      </c>
      <c r="BD125" s="58"/>
      <c r="BE125" s="59"/>
    </row>
    <row r="126" spans="33:57" x14ac:dyDescent="0.25">
      <c r="AG126" s="195"/>
      <c r="BD126" s="58"/>
      <c r="BE126" s="59"/>
    </row>
    <row r="127" spans="33:57" x14ac:dyDescent="0.25">
      <c r="AG127" s="195"/>
      <c r="BD127" s="58"/>
      <c r="BE127" s="59"/>
    </row>
    <row r="128" spans="33:57" x14ac:dyDescent="0.25">
      <c r="AG128" s="195"/>
      <c r="BD128" s="58"/>
      <c r="BE128" s="59"/>
    </row>
    <row r="129" spans="33:57" x14ac:dyDescent="0.25">
      <c r="AG129" s="195"/>
      <c r="BD129" s="58"/>
      <c r="BE129" s="59"/>
    </row>
    <row r="130" spans="33:57" x14ac:dyDescent="0.25">
      <c r="AG130" s="195"/>
      <c r="BD130" s="58"/>
      <c r="BE130" s="59"/>
    </row>
    <row r="131" spans="33:57" x14ac:dyDescent="0.25">
      <c r="AG131" s="195"/>
      <c r="BD131" s="58"/>
      <c r="BE131" s="59"/>
    </row>
    <row r="132" spans="33:57" x14ac:dyDescent="0.25">
      <c r="AG132" s="195"/>
      <c r="BD132" s="58"/>
      <c r="BE132" s="59"/>
    </row>
    <row r="133" spans="33:57" x14ac:dyDescent="0.25">
      <c r="AG133" s="195"/>
      <c r="BD133" s="58"/>
      <c r="BE133" s="59"/>
    </row>
    <row r="134" spans="33:57" x14ac:dyDescent="0.25">
      <c r="AG134" s="195"/>
      <c r="BD134" s="58"/>
      <c r="BE134" s="59"/>
    </row>
    <row r="135" spans="33:57" x14ac:dyDescent="0.25">
      <c r="AG135" s="195"/>
      <c r="BD135" s="58"/>
      <c r="BE135" s="59"/>
    </row>
    <row r="136" spans="33:57" x14ac:dyDescent="0.25">
      <c r="AG136" s="195"/>
      <c r="BD136" s="58"/>
      <c r="BE136" s="59"/>
    </row>
    <row r="137" spans="33:57" x14ac:dyDescent="0.25">
      <c r="AG137" s="195"/>
      <c r="BD137" s="58"/>
      <c r="BE137" s="59"/>
    </row>
    <row r="138" spans="33:57" x14ac:dyDescent="0.25">
      <c r="AG138" s="195"/>
      <c r="BD138" s="58"/>
      <c r="BE138" s="59"/>
    </row>
    <row r="139" spans="33:57" x14ac:dyDescent="0.25">
      <c r="AG139" s="195"/>
      <c r="BD139" s="58"/>
      <c r="BE139" s="59"/>
    </row>
    <row r="140" spans="33:57" x14ac:dyDescent="0.25">
      <c r="AG140" s="195"/>
      <c r="BD140" s="58"/>
      <c r="BE140" s="59"/>
    </row>
    <row r="141" spans="33:57" x14ac:dyDescent="0.25">
      <c r="AG141" s="195"/>
      <c r="BD141" s="58"/>
      <c r="BE141" s="59"/>
    </row>
    <row r="142" spans="33:57" x14ac:dyDescent="0.25">
      <c r="AG142" s="195"/>
      <c r="BD142" s="58"/>
      <c r="BE142" s="59"/>
    </row>
    <row r="143" spans="33:57" x14ac:dyDescent="0.25">
      <c r="AG143" s="195"/>
      <c r="BD143" s="58"/>
      <c r="BE143" s="59"/>
    </row>
    <row r="144" spans="33:57" x14ac:dyDescent="0.25">
      <c r="AG144" s="195"/>
      <c r="BD144" s="58"/>
      <c r="BE144" s="59"/>
    </row>
    <row r="145" spans="33:57" x14ac:dyDescent="0.25">
      <c r="AG145" s="195"/>
      <c r="BD145" s="58"/>
      <c r="BE145" s="59"/>
    </row>
    <row r="146" spans="33:57" x14ac:dyDescent="0.25">
      <c r="AG146" s="195"/>
      <c r="BD146" s="58"/>
      <c r="BE146" s="59"/>
    </row>
    <row r="147" spans="33:57" x14ac:dyDescent="0.25">
      <c r="AG147" s="195"/>
      <c r="BD147" s="58"/>
      <c r="BE147" s="59"/>
    </row>
    <row r="148" spans="33:57" x14ac:dyDescent="0.25">
      <c r="AG148" s="195"/>
      <c r="BD148" s="58"/>
      <c r="BE148" s="59"/>
    </row>
    <row r="149" spans="33:57" x14ac:dyDescent="0.25">
      <c r="AG149" s="195"/>
      <c r="BD149" s="58"/>
      <c r="BE149" s="59"/>
    </row>
    <row r="150" spans="33:57" x14ac:dyDescent="0.25">
      <c r="AG150" s="195"/>
      <c r="BD150" s="58"/>
      <c r="BE150" s="59"/>
    </row>
    <row r="151" spans="33:57" x14ac:dyDescent="0.25">
      <c r="AG151" s="195"/>
      <c r="BD151" s="58"/>
      <c r="BE151" s="59"/>
    </row>
    <row r="152" spans="33:57" x14ac:dyDescent="0.25">
      <c r="AG152" s="195"/>
      <c r="BD152" s="58"/>
      <c r="BE152" s="59"/>
    </row>
    <row r="153" spans="33:57" x14ac:dyDescent="0.25">
      <c r="AG153" s="195"/>
      <c r="BD153" s="58"/>
      <c r="BE153" s="59"/>
    </row>
    <row r="154" spans="33:57" x14ac:dyDescent="0.25">
      <c r="AG154" s="195"/>
      <c r="BD154" s="58"/>
      <c r="BE154" s="59"/>
    </row>
    <row r="155" spans="33:57" x14ac:dyDescent="0.25">
      <c r="AG155" s="195"/>
      <c r="BD155" s="58"/>
      <c r="BE155" s="59"/>
    </row>
    <row r="156" spans="33:57" x14ac:dyDescent="0.25">
      <c r="AG156" s="195"/>
      <c r="BD156" s="58"/>
      <c r="BE156" s="59"/>
    </row>
    <row r="157" spans="33:57" x14ac:dyDescent="0.25">
      <c r="AG157" s="195"/>
      <c r="BD157" s="58"/>
      <c r="BE157" s="59"/>
    </row>
    <row r="158" spans="33:57" x14ac:dyDescent="0.25">
      <c r="AG158" s="195"/>
      <c r="BD158" s="58"/>
      <c r="BE158" s="59"/>
    </row>
    <row r="159" spans="33:57" x14ac:dyDescent="0.25">
      <c r="AG159" s="195"/>
      <c r="BD159" s="58"/>
      <c r="BE159" s="59"/>
    </row>
    <row r="160" spans="33:57" x14ac:dyDescent="0.25">
      <c r="AG160" s="195"/>
      <c r="BD160" s="58"/>
      <c r="BE160" s="59"/>
    </row>
    <row r="161" spans="33:57" x14ac:dyDescent="0.25">
      <c r="AG161" s="195"/>
      <c r="BD161" s="58"/>
      <c r="BE161" s="59"/>
    </row>
    <row r="162" spans="33:57" x14ac:dyDescent="0.25">
      <c r="AG162" s="195"/>
      <c r="BD162" s="58"/>
      <c r="BE162" s="59"/>
    </row>
    <row r="163" spans="33:57" x14ac:dyDescent="0.25">
      <c r="AG163" s="195"/>
      <c r="BD163" s="58"/>
      <c r="BE163" s="59"/>
    </row>
    <row r="164" spans="33:57" x14ac:dyDescent="0.25">
      <c r="AG164" s="195"/>
      <c r="BD164" s="58"/>
      <c r="BE164" s="59"/>
    </row>
    <row r="165" spans="33:57" x14ac:dyDescent="0.25">
      <c r="AG165" s="195"/>
      <c r="BD165" s="58"/>
      <c r="BE165" s="59"/>
    </row>
    <row r="166" spans="33:57" x14ac:dyDescent="0.25">
      <c r="AG166" s="195"/>
      <c r="BD166" s="58"/>
      <c r="BE166" s="59"/>
    </row>
    <row r="167" spans="33:57" x14ac:dyDescent="0.25">
      <c r="AG167" s="195"/>
      <c r="BD167" s="58"/>
      <c r="BE167" s="59"/>
    </row>
    <row r="168" spans="33:57" x14ac:dyDescent="0.25">
      <c r="AG168" s="195"/>
      <c r="BD168" s="58"/>
      <c r="BE168" s="59"/>
    </row>
    <row r="169" spans="33:57" x14ac:dyDescent="0.25">
      <c r="AG169" s="195"/>
      <c r="BD169" s="58"/>
      <c r="BE169" s="59"/>
    </row>
    <row r="170" spans="33:57" x14ac:dyDescent="0.25">
      <c r="AG170" s="195"/>
      <c r="BD170" s="58"/>
      <c r="BE170" s="59"/>
    </row>
    <row r="171" spans="33:57" x14ac:dyDescent="0.25">
      <c r="AG171" s="195"/>
      <c r="BD171" s="58"/>
      <c r="BE171" s="59"/>
    </row>
    <row r="172" spans="33:57" x14ac:dyDescent="0.25">
      <c r="AG172" s="195"/>
      <c r="BD172" s="58"/>
      <c r="BE172" s="59"/>
    </row>
    <row r="173" spans="33:57" x14ac:dyDescent="0.25">
      <c r="AG173" s="195"/>
      <c r="BD173" s="58"/>
      <c r="BE173" s="59"/>
    </row>
    <row r="174" spans="33:57" x14ac:dyDescent="0.25">
      <c r="AG174" s="195"/>
      <c r="BD174" s="58"/>
      <c r="BE174" s="59"/>
    </row>
    <row r="175" spans="33:57" x14ac:dyDescent="0.25">
      <c r="AG175" s="195"/>
      <c r="BD175" s="58"/>
      <c r="BE175" s="59"/>
    </row>
    <row r="176" spans="33:57" x14ac:dyDescent="0.25">
      <c r="AG176" s="195"/>
      <c r="BD176" s="58"/>
      <c r="BE176" s="59"/>
    </row>
    <row r="177" spans="33:57" x14ac:dyDescent="0.25">
      <c r="AG177" s="195"/>
      <c r="BD177" s="58"/>
      <c r="BE177" s="59"/>
    </row>
    <row r="178" spans="33:57" x14ac:dyDescent="0.25">
      <c r="AG178" s="195"/>
      <c r="BD178" s="58"/>
      <c r="BE178" s="59"/>
    </row>
    <row r="179" spans="33:57" x14ac:dyDescent="0.25">
      <c r="AG179" s="195"/>
      <c r="BD179" s="58"/>
      <c r="BE179" s="59"/>
    </row>
    <row r="180" spans="33:57" x14ac:dyDescent="0.25">
      <c r="AG180" s="195"/>
      <c r="BD180" s="58"/>
      <c r="BE180" s="59"/>
    </row>
    <row r="181" spans="33:57" x14ac:dyDescent="0.25">
      <c r="AG181" s="195"/>
      <c r="BD181" s="58"/>
      <c r="BE181" s="59"/>
    </row>
    <row r="182" spans="33:57" x14ac:dyDescent="0.25">
      <c r="AG182" s="195"/>
      <c r="BD182" s="58"/>
      <c r="BE182" s="59"/>
    </row>
    <row r="183" spans="33:57" x14ac:dyDescent="0.25">
      <c r="AG183" s="195"/>
      <c r="BD183" s="58"/>
      <c r="BE183" s="59"/>
    </row>
    <row r="184" spans="33:57" x14ac:dyDescent="0.25">
      <c r="AG184" s="195"/>
      <c r="BD184" s="58"/>
      <c r="BE184" s="59"/>
    </row>
    <row r="185" spans="33:57" x14ac:dyDescent="0.25">
      <c r="AG185" s="195"/>
      <c r="BD185" s="58"/>
      <c r="BE185" s="59"/>
    </row>
    <row r="186" spans="33:57" x14ac:dyDescent="0.25">
      <c r="AG186" s="195"/>
      <c r="BD186" s="58"/>
      <c r="BE186" s="59"/>
    </row>
    <row r="187" spans="33:57" x14ac:dyDescent="0.25">
      <c r="AG187" s="195"/>
      <c r="BD187" s="58"/>
      <c r="BE187" s="59"/>
    </row>
    <row r="188" spans="33:57" x14ac:dyDescent="0.25">
      <c r="AG188" s="195"/>
      <c r="BD188" s="58"/>
      <c r="BE188" s="59"/>
    </row>
    <row r="189" spans="33:57" x14ac:dyDescent="0.25">
      <c r="AG189" s="195"/>
      <c r="BD189" s="58"/>
      <c r="BE189" s="59"/>
    </row>
    <row r="190" spans="33:57" x14ac:dyDescent="0.25">
      <c r="AG190" s="195"/>
      <c r="BD190" s="58"/>
      <c r="BE190" s="59"/>
    </row>
    <row r="191" spans="33:57" x14ac:dyDescent="0.25">
      <c r="AG191" s="195"/>
      <c r="BD191" s="58"/>
      <c r="BE191" s="59"/>
    </row>
    <row r="192" spans="33:57" x14ac:dyDescent="0.25">
      <c r="AG192" s="195"/>
      <c r="BD192" s="58"/>
      <c r="BE192" s="59"/>
    </row>
    <row r="193" spans="33:57" x14ac:dyDescent="0.25">
      <c r="AG193" s="195"/>
      <c r="BD193" s="58"/>
      <c r="BE193" s="59"/>
    </row>
    <row r="194" spans="33:57" x14ac:dyDescent="0.25">
      <c r="AG194" s="195"/>
      <c r="BD194" s="58"/>
      <c r="BE194" s="59"/>
    </row>
    <row r="195" spans="33:57" x14ac:dyDescent="0.25">
      <c r="AG195" s="195"/>
      <c r="BD195" s="58"/>
      <c r="BE195" s="59"/>
    </row>
    <row r="196" spans="33:57" x14ac:dyDescent="0.25">
      <c r="AG196" s="195"/>
      <c r="BD196" s="58"/>
      <c r="BE196" s="59"/>
    </row>
    <row r="197" spans="33:57" x14ac:dyDescent="0.25">
      <c r="AG197" s="195"/>
      <c r="BD197" s="58"/>
      <c r="BE197" s="59"/>
    </row>
    <row r="198" spans="33:57" x14ac:dyDescent="0.25">
      <c r="AG198" s="195"/>
      <c r="BD198" s="58"/>
      <c r="BE198" s="59"/>
    </row>
    <row r="199" spans="33:57" x14ac:dyDescent="0.25">
      <c r="AG199" s="195"/>
      <c r="BD199" s="58"/>
      <c r="BE199" s="59"/>
    </row>
    <row r="200" spans="33:57" x14ac:dyDescent="0.25">
      <c r="AG200" s="195"/>
      <c r="BD200" s="58"/>
      <c r="BE200" s="59"/>
    </row>
    <row r="201" spans="33:57" x14ac:dyDescent="0.25">
      <c r="AG201" s="195"/>
      <c r="BD201" s="58"/>
      <c r="BE201" s="59"/>
    </row>
    <row r="202" spans="33:57" x14ac:dyDescent="0.25">
      <c r="AG202" s="195"/>
      <c r="BD202" s="58"/>
      <c r="BE202" s="59"/>
    </row>
    <row r="203" spans="33:57" x14ac:dyDescent="0.25">
      <c r="AG203" s="195"/>
      <c r="BD203" s="58"/>
      <c r="BE203" s="59"/>
    </row>
    <row r="204" spans="33:57" x14ac:dyDescent="0.25">
      <c r="AG204" s="195"/>
      <c r="BD204" s="58"/>
      <c r="BE204" s="59"/>
    </row>
    <row r="205" spans="33:57" x14ac:dyDescent="0.25">
      <c r="AG205" s="195"/>
      <c r="BD205" s="58"/>
      <c r="BE205" s="59"/>
    </row>
    <row r="206" spans="33:57" x14ac:dyDescent="0.25">
      <c r="AG206" s="195"/>
      <c r="BD206" s="58"/>
      <c r="BE206" s="59"/>
    </row>
    <row r="207" spans="33:57" x14ac:dyDescent="0.25">
      <c r="AG207" s="195"/>
      <c r="BD207" s="58"/>
      <c r="BE207" s="59"/>
    </row>
    <row r="208" spans="33:57" x14ac:dyDescent="0.25">
      <c r="AG208" s="195"/>
      <c r="BD208" s="58"/>
      <c r="BE208" s="59"/>
    </row>
    <row r="209" spans="33:57" x14ac:dyDescent="0.25">
      <c r="AG209" s="195"/>
      <c r="BD209" s="58"/>
      <c r="BE209" s="59"/>
    </row>
    <row r="210" spans="33:57" x14ac:dyDescent="0.25">
      <c r="AG210" s="195"/>
      <c r="BD210" s="58"/>
      <c r="BE210" s="59"/>
    </row>
    <row r="211" spans="33:57" x14ac:dyDescent="0.25">
      <c r="AG211" s="195"/>
      <c r="BD211" s="58"/>
      <c r="BE211" s="59"/>
    </row>
    <row r="212" spans="33:57" x14ac:dyDescent="0.25">
      <c r="AG212" s="195"/>
      <c r="BD212" s="58"/>
      <c r="BE212" s="59"/>
    </row>
    <row r="213" spans="33:57" x14ac:dyDescent="0.25">
      <c r="AG213" s="195"/>
      <c r="BD213" s="58"/>
      <c r="BE213" s="59"/>
    </row>
    <row r="214" spans="33:57" x14ac:dyDescent="0.25">
      <c r="AG214" s="195"/>
      <c r="BD214" s="58"/>
      <c r="BE214" s="59"/>
    </row>
    <row r="215" spans="33:57" x14ac:dyDescent="0.25">
      <c r="AG215" s="195"/>
      <c r="BD215" s="58"/>
      <c r="BE215" s="59"/>
    </row>
    <row r="216" spans="33:57" x14ac:dyDescent="0.25">
      <c r="AG216" s="195"/>
      <c r="BD216" s="58"/>
      <c r="BE216" s="59"/>
    </row>
    <row r="217" spans="33:57" x14ac:dyDescent="0.25">
      <c r="AG217" s="195"/>
      <c r="BD217" s="58"/>
      <c r="BE217" s="59"/>
    </row>
    <row r="218" spans="33:57" x14ac:dyDescent="0.25">
      <c r="AG218" s="195"/>
      <c r="BD218" s="58"/>
      <c r="BE218" s="59"/>
    </row>
    <row r="219" spans="33:57" x14ac:dyDescent="0.25">
      <c r="AG219" s="195"/>
      <c r="BD219" s="58"/>
      <c r="BE219" s="59"/>
    </row>
    <row r="220" spans="33:57" x14ac:dyDescent="0.25">
      <c r="AG220" s="195"/>
      <c r="BD220" s="58"/>
      <c r="BE220" s="59"/>
    </row>
    <row r="221" spans="33:57" x14ac:dyDescent="0.25">
      <c r="AG221" s="195"/>
      <c r="BD221" s="58"/>
      <c r="BE221" s="59"/>
    </row>
    <row r="222" spans="33:57" x14ac:dyDescent="0.25">
      <c r="AG222" s="195"/>
      <c r="BD222" s="58"/>
      <c r="BE222" s="59"/>
    </row>
    <row r="223" spans="33:57" x14ac:dyDescent="0.25">
      <c r="AG223" s="195"/>
      <c r="BD223" s="58"/>
      <c r="BE223" s="59"/>
    </row>
    <row r="224" spans="33:57" x14ac:dyDescent="0.25">
      <c r="AG224" s="195"/>
      <c r="BD224" s="58"/>
      <c r="BE224" s="59"/>
    </row>
    <row r="225" spans="33:57" x14ac:dyDescent="0.25">
      <c r="AG225" s="195"/>
      <c r="BD225" s="58"/>
      <c r="BE225" s="59"/>
    </row>
    <row r="226" spans="33:57" ht="13" thickBot="1" x14ac:dyDescent="0.3">
      <c r="AG226" s="199"/>
      <c r="BD226" s="58"/>
      <c r="BE226" s="59"/>
    </row>
    <row r="227" spans="33:57" x14ac:dyDescent="0.25">
      <c r="BD227" s="58"/>
      <c r="BE227" s="59"/>
    </row>
    <row r="228" spans="33:57" x14ac:dyDescent="0.25">
      <c r="BD228" s="58"/>
      <c r="BE228" s="59"/>
    </row>
    <row r="229" spans="33:57" x14ac:dyDescent="0.25">
      <c r="BD229" s="58"/>
      <c r="BE229" s="59"/>
    </row>
    <row r="230" spans="33:57" x14ac:dyDescent="0.25">
      <c r="BD230" s="58"/>
      <c r="BE230" s="59"/>
    </row>
    <row r="231" spans="33:57" x14ac:dyDescent="0.25">
      <c r="BD231" s="58"/>
      <c r="BE231" s="59"/>
    </row>
    <row r="232" spans="33:57" x14ac:dyDescent="0.25">
      <c r="BD232" s="58"/>
      <c r="BE232" s="59"/>
    </row>
    <row r="233" spans="33:57" x14ac:dyDescent="0.25">
      <c r="BD233" s="58"/>
      <c r="BE233" s="59"/>
    </row>
    <row r="234" spans="33:57" x14ac:dyDescent="0.25">
      <c r="BD234" s="58"/>
      <c r="BE234" s="59"/>
    </row>
    <row r="235" spans="33:57" x14ac:dyDescent="0.25">
      <c r="BD235" s="58"/>
      <c r="BE235" s="59"/>
    </row>
    <row r="236" spans="33:57" x14ac:dyDescent="0.25">
      <c r="BD236" s="58"/>
      <c r="BE236" s="59"/>
    </row>
    <row r="237" spans="33:57" x14ac:dyDescent="0.25">
      <c r="BD237" s="58"/>
      <c r="BE237" s="59"/>
    </row>
    <row r="238" spans="33:57" x14ac:dyDescent="0.25">
      <c r="BD238" s="58"/>
      <c r="BE238" s="59"/>
    </row>
    <row r="239" spans="33:57" x14ac:dyDescent="0.25">
      <c r="BD239" s="58"/>
      <c r="BE239" s="59"/>
    </row>
    <row r="240" spans="33:57" x14ac:dyDescent="0.25">
      <c r="BD240" s="58"/>
      <c r="BE240" s="59"/>
    </row>
    <row r="241" spans="56:57" x14ac:dyDescent="0.25">
      <c r="BD241" s="58"/>
      <c r="BE241" s="59"/>
    </row>
    <row r="242" spans="56:57" x14ac:dyDescent="0.25">
      <c r="BD242" s="58"/>
      <c r="BE242" s="59"/>
    </row>
    <row r="243" spans="56:57" x14ac:dyDescent="0.25">
      <c r="BD243" s="58"/>
      <c r="BE243" s="59"/>
    </row>
    <row r="244" spans="56:57" x14ac:dyDescent="0.25">
      <c r="BD244" s="58"/>
      <c r="BE244" s="59"/>
    </row>
    <row r="245" spans="56:57" x14ac:dyDescent="0.25">
      <c r="BD245" s="58"/>
      <c r="BE245" s="59"/>
    </row>
    <row r="246" spans="56:57" x14ac:dyDescent="0.25">
      <c r="BD246" s="58"/>
      <c r="BE246" s="59"/>
    </row>
    <row r="247" spans="56:57" x14ac:dyDescent="0.25">
      <c r="BD247" s="58"/>
      <c r="BE247" s="59"/>
    </row>
    <row r="248" spans="56:57" x14ac:dyDescent="0.25">
      <c r="BD248" s="58"/>
      <c r="BE248" s="59"/>
    </row>
    <row r="249" spans="56:57" x14ac:dyDescent="0.25">
      <c r="BD249" s="58"/>
      <c r="BE249" s="59"/>
    </row>
    <row r="250" spans="56:57" x14ac:dyDescent="0.25">
      <c r="BD250" s="58"/>
      <c r="BE250" s="59"/>
    </row>
    <row r="251" spans="56:57" x14ac:dyDescent="0.25">
      <c r="BD251" s="58"/>
      <c r="BE251" s="59"/>
    </row>
    <row r="252" spans="56:57" x14ac:dyDescent="0.25">
      <c r="BD252" s="58"/>
      <c r="BE252" s="59"/>
    </row>
    <row r="253" spans="56:57" x14ac:dyDescent="0.25">
      <c r="BD253" s="58"/>
      <c r="BE253" s="59"/>
    </row>
    <row r="254" spans="56:57" x14ac:dyDescent="0.25">
      <c r="BD254" s="58"/>
      <c r="BE254" s="59"/>
    </row>
    <row r="255" spans="56:57" x14ac:dyDescent="0.25">
      <c r="BD255" s="58"/>
      <c r="BE255" s="59"/>
    </row>
    <row r="256" spans="56:57" x14ac:dyDescent="0.25">
      <c r="BD256" s="58"/>
      <c r="BE256" s="59"/>
    </row>
    <row r="257" spans="56:57" x14ac:dyDescent="0.25">
      <c r="BD257" s="58"/>
      <c r="BE257" s="59"/>
    </row>
    <row r="258" spans="56:57" x14ac:dyDescent="0.25">
      <c r="BD258" s="58"/>
      <c r="BE258" s="59"/>
    </row>
    <row r="259" spans="56:57" x14ac:dyDescent="0.25">
      <c r="BD259" s="58"/>
      <c r="BE259" s="59"/>
    </row>
    <row r="260" spans="56:57" x14ac:dyDescent="0.25">
      <c r="BD260" s="58"/>
      <c r="BE260" s="59"/>
    </row>
    <row r="261" spans="56:57" x14ac:dyDescent="0.25">
      <c r="BD261" s="58"/>
      <c r="BE261" s="59"/>
    </row>
    <row r="262" spans="56:57" x14ac:dyDescent="0.25">
      <c r="BD262" s="58"/>
      <c r="BE262" s="59"/>
    </row>
    <row r="263" spans="56:57" x14ac:dyDescent="0.25">
      <c r="BD263" s="58"/>
      <c r="BE263" s="59"/>
    </row>
    <row r="264" spans="56:57" x14ac:dyDescent="0.25">
      <c r="BD264" s="58"/>
      <c r="BE264" s="59"/>
    </row>
    <row r="265" spans="56:57" x14ac:dyDescent="0.25">
      <c r="BD265" s="58"/>
      <c r="BE265" s="59"/>
    </row>
    <row r="266" spans="56:57" x14ac:dyDescent="0.25">
      <c r="BD266" s="58"/>
      <c r="BE266" s="59"/>
    </row>
    <row r="267" spans="56:57" x14ac:dyDescent="0.25">
      <c r="BD267" s="58"/>
      <c r="BE267" s="59"/>
    </row>
    <row r="268" spans="56:57" x14ac:dyDescent="0.25">
      <c r="BD268" s="58"/>
      <c r="BE268" s="59"/>
    </row>
    <row r="269" spans="56:57" x14ac:dyDescent="0.25">
      <c r="BD269" s="58"/>
      <c r="BE269" s="59"/>
    </row>
    <row r="270" spans="56:57" x14ac:dyDescent="0.25">
      <c r="BD270" s="58"/>
      <c r="BE270" s="59"/>
    </row>
    <row r="271" spans="56:57" x14ac:dyDescent="0.25">
      <c r="BD271" s="58"/>
      <c r="BE271" s="59"/>
    </row>
    <row r="272" spans="56:57" x14ac:dyDescent="0.25">
      <c r="BD272" s="58"/>
      <c r="BE272" s="59"/>
    </row>
    <row r="273" spans="56:57" x14ac:dyDescent="0.25">
      <c r="BD273" s="58"/>
      <c r="BE273" s="59"/>
    </row>
    <row r="274" spans="56:57" x14ac:dyDescent="0.25">
      <c r="BD274" s="58"/>
      <c r="BE274" s="59"/>
    </row>
    <row r="275" spans="56:57" x14ac:dyDescent="0.25">
      <c r="BD275" s="58"/>
      <c r="BE275" s="59"/>
    </row>
    <row r="276" spans="56:57" x14ac:dyDescent="0.25">
      <c r="BD276" s="58"/>
      <c r="BE276" s="59"/>
    </row>
    <row r="277" spans="56:57" x14ac:dyDescent="0.25">
      <c r="BD277" s="58"/>
      <c r="BE277" s="59"/>
    </row>
    <row r="278" spans="56:57" x14ac:dyDescent="0.25">
      <c r="BD278" s="58"/>
      <c r="BE278" s="59"/>
    </row>
    <row r="279" spans="56:57" x14ac:dyDescent="0.25">
      <c r="BD279" s="58"/>
      <c r="BE279" s="59"/>
    </row>
    <row r="280" spans="56:57" x14ac:dyDescent="0.25">
      <c r="BD280" s="58"/>
      <c r="BE280" s="59"/>
    </row>
    <row r="281" spans="56:57" x14ac:dyDescent="0.25">
      <c r="BD281" s="58"/>
      <c r="BE281" s="59"/>
    </row>
    <row r="282" spans="56:57" x14ac:dyDescent="0.25">
      <c r="BD282" s="58"/>
      <c r="BE282" s="59"/>
    </row>
    <row r="283" spans="56:57" x14ac:dyDescent="0.25">
      <c r="BD283" s="58"/>
      <c r="BE283" s="59"/>
    </row>
    <row r="284" spans="56:57" x14ac:dyDescent="0.25">
      <c r="BD284" s="58"/>
      <c r="BE284" s="59"/>
    </row>
    <row r="285" spans="56:57" x14ac:dyDescent="0.25">
      <c r="BD285" s="58"/>
      <c r="BE285" s="59"/>
    </row>
    <row r="286" spans="56:57" x14ac:dyDescent="0.25">
      <c r="BD286" s="58"/>
      <c r="BE286" s="59"/>
    </row>
    <row r="287" spans="56:57" x14ac:dyDescent="0.25">
      <c r="BD287" s="58"/>
      <c r="BE287" s="59"/>
    </row>
    <row r="288" spans="56:57" x14ac:dyDescent="0.25">
      <c r="BD288" s="58"/>
      <c r="BE288" s="59"/>
    </row>
    <row r="289" spans="56:57" x14ac:dyDescent="0.25">
      <c r="BD289" s="58"/>
      <c r="BE289" s="59"/>
    </row>
    <row r="290" spans="56:57" x14ac:dyDescent="0.25">
      <c r="BD290" s="58"/>
      <c r="BE290" s="59"/>
    </row>
    <row r="291" spans="56:57" x14ac:dyDescent="0.25">
      <c r="BD291" s="58"/>
      <c r="BE291" s="59"/>
    </row>
    <row r="292" spans="56:57" x14ac:dyDescent="0.25">
      <c r="BD292" s="58"/>
      <c r="BE292" s="59"/>
    </row>
    <row r="293" spans="56:57" x14ac:dyDescent="0.25">
      <c r="BD293" s="58"/>
      <c r="BE293" s="59"/>
    </row>
    <row r="294" spans="56:57" x14ac:dyDescent="0.25">
      <c r="BD294" s="58"/>
      <c r="BE294" s="59"/>
    </row>
    <row r="295" spans="56:57" x14ac:dyDescent="0.25">
      <c r="BD295" s="58"/>
      <c r="BE295" s="59"/>
    </row>
    <row r="296" spans="56:57" x14ac:dyDescent="0.25">
      <c r="BD296" s="58"/>
      <c r="BE296" s="59"/>
    </row>
    <row r="297" spans="56:57" x14ac:dyDescent="0.25">
      <c r="BD297" s="58"/>
      <c r="BE297" s="59"/>
    </row>
    <row r="298" spans="56:57" x14ac:dyDescent="0.25">
      <c r="BD298" s="58"/>
      <c r="BE298" s="59"/>
    </row>
    <row r="299" spans="56:57" x14ac:dyDescent="0.25">
      <c r="BD299" s="58"/>
      <c r="BE299" s="59"/>
    </row>
    <row r="300" spans="56:57" x14ac:dyDescent="0.25">
      <c r="BD300" s="58"/>
      <c r="BE300" s="59"/>
    </row>
    <row r="301" spans="56:57" x14ac:dyDescent="0.25">
      <c r="BD301" s="58"/>
      <c r="BE301" s="59"/>
    </row>
    <row r="302" spans="56:57" x14ac:dyDescent="0.25">
      <c r="BD302" s="58"/>
      <c r="BE302" s="59"/>
    </row>
    <row r="303" spans="56:57" x14ac:dyDescent="0.25">
      <c r="BD303" s="58"/>
      <c r="BE303" s="59"/>
    </row>
    <row r="304" spans="56:57" x14ac:dyDescent="0.25">
      <c r="BD304" s="58"/>
      <c r="BE304" s="59"/>
    </row>
    <row r="305" spans="56:57" x14ac:dyDescent="0.25">
      <c r="BD305" s="58"/>
      <c r="BE305" s="59"/>
    </row>
    <row r="306" spans="56:57" x14ac:dyDescent="0.25">
      <c r="BD306" s="58"/>
      <c r="BE306" s="59"/>
    </row>
    <row r="307" spans="56:57" x14ac:dyDescent="0.25">
      <c r="BD307" s="58"/>
      <c r="BE307" s="59"/>
    </row>
    <row r="308" spans="56:57" x14ac:dyDescent="0.25">
      <c r="BD308" s="58"/>
      <c r="BE308" s="59"/>
    </row>
    <row r="309" spans="56:57" x14ac:dyDescent="0.25">
      <c r="BD309" s="58"/>
      <c r="BE309" s="59"/>
    </row>
    <row r="310" spans="56:57" x14ac:dyDescent="0.25">
      <c r="BD310" s="58"/>
      <c r="BE310" s="59"/>
    </row>
    <row r="311" spans="56:57" x14ac:dyDescent="0.25">
      <c r="BD311" s="58"/>
      <c r="BE311" s="59"/>
    </row>
    <row r="312" spans="56:57" x14ac:dyDescent="0.25">
      <c r="BD312" s="58"/>
      <c r="BE312" s="59"/>
    </row>
    <row r="313" spans="56:57" x14ac:dyDescent="0.25">
      <c r="BD313" s="58"/>
      <c r="BE313" s="59"/>
    </row>
    <row r="314" spans="56:57" x14ac:dyDescent="0.25">
      <c r="BD314" s="58"/>
      <c r="BE314" s="59"/>
    </row>
    <row r="315" spans="56:57" x14ac:dyDescent="0.25">
      <c r="BD315" s="58"/>
      <c r="BE315" s="59"/>
    </row>
    <row r="316" spans="56:57" x14ac:dyDescent="0.25">
      <c r="BD316" s="58"/>
      <c r="BE316" s="59"/>
    </row>
    <row r="317" spans="56:57" x14ac:dyDescent="0.25">
      <c r="BD317" s="58"/>
      <c r="BE317" s="59"/>
    </row>
    <row r="318" spans="56:57" x14ac:dyDescent="0.25">
      <c r="BD318" s="58"/>
      <c r="BE318" s="59"/>
    </row>
    <row r="319" spans="56:57" x14ac:dyDescent="0.25">
      <c r="BD319" s="58"/>
      <c r="BE319" s="59"/>
    </row>
    <row r="320" spans="56:57" x14ac:dyDescent="0.25">
      <c r="BD320" s="58"/>
      <c r="BE320" s="59"/>
    </row>
    <row r="321" spans="56:57" x14ac:dyDescent="0.25">
      <c r="BD321" s="58"/>
      <c r="BE321" s="59"/>
    </row>
    <row r="322" spans="56:57" x14ac:dyDescent="0.25">
      <c r="BD322" s="58"/>
      <c r="BE322" s="59"/>
    </row>
    <row r="323" spans="56:57" x14ac:dyDescent="0.25">
      <c r="BD323" s="58"/>
      <c r="BE323" s="59"/>
    </row>
    <row r="324" spans="56:57" x14ac:dyDescent="0.25">
      <c r="BD324" s="58"/>
      <c r="BE324" s="59"/>
    </row>
    <row r="325" spans="56:57" x14ac:dyDescent="0.25">
      <c r="BD325" s="58"/>
      <c r="BE325" s="59"/>
    </row>
    <row r="326" spans="56:57" x14ac:dyDescent="0.25">
      <c r="BD326" s="58"/>
      <c r="BE326" s="59"/>
    </row>
    <row r="327" spans="56:57" x14ac:dyDescent="0.25">
      <c r="BD327" s="58"/>
      <c r="BE327" s="59"/>
    </row>
    <row r="328" spans="56:57" x14ac:dyDescent="0.25">
      <c r="BD328" s="58"/>
      <c r="BE328" s="59"/>
    </row>
    <row r="329" spans="56:57" x14ac:dyDescent="0.25">
      <c r="BD329" s="58"/>
      <c r="BE329" s="59"/>
    </row>
    <row r="330" spans="56:57" x14ac:dyDescent="0.25">
      <c r="BD330" s="58"/>
      <c r="BE330" s="59"/>
    </row>
    <row r="331" spans="56:57" x14ac:dyDescent="0.25">
      <c r="BD331" s="58"/>
      <c r="BE331" s="59"/>
    </row>
    <row r="332" spans="56:57" x14ac:dyDescent="0.25">
      <c r="BD332" s="58"/>
      <c r="BE332" s="59"/>
    </row>
    <row r="333" spans="56:57" x14ac:dyDescent="0.25">
      <c r="BD333" s="58"/>
      <c r="BE333" s="59"/>
    </row>
    <row r="334" spans="56:57" x14ac:dyDescent="0.25">
      <c r="BD334" s="58"/>
      <c r="BE334" s="59"/>
    </row>
    <row r="335" spans="56:57" x14ac:dyDescent="0.25">
      <c r="BD335" s="58"/>
      <c r="BE335" s="59"/>
    </row>
    <row r="336" spans="56:57" x14ac:dyDescent="0.25">
      <c r="BD336" s="58"/>
      <c r="BE336" s="59"/>
    </row>
    <row r="337" spans="56:57" x14ac:dyDescent="0.25">
      <c r="BD337" s="58"/>
      <c r="BE337" s="59"/>
    </row>
    <row r="338" spans="56:57" x14ac:dyDescent="0.25">
      <c r="BD338" s="58"/>
      <c r="BE338" s="59"/>
    </row>
    <row r="339" spans="56:57" x14ac:dyDescent="0.25">
      <c r="BD339" s="58"/>
      <c r="BE339" s="59"/>
    </row>
    <row r="340" spans="56:57" x14ac:dyDescent="0.25">
      <c r="BD340" s="58"/>
      <c r="BE340" s="59"/>
    </row>
    <row r="341" spans="56:57" x14ac:dyDescent="0.25">
      <c r="BD341" s="58"/>
      <c r="BE341" s="59"/>
    </row>
    <row r="342" spans="56:57" x14ac:dyDescent="0.25">
      <c r="BD342" s="58"/>
      <c r="BE342" s="59"/>
    </row>
    <row r="343" spans="56:57" x14ac:dyDescent="0.25">
      <c r="BD343" s="58"/>
      <c r="BE343" s="59"/>
    </row>
    <row r="344" spans="56:57" x14ac:dyDescent="0.25">
      <c r="BD344" s="58"/>
      <c r="BE344" s="59"/>
    </row>
    <row r="345" spans="56:57" x14ac:dyDescent="0.25">
      <c r="BD345" s="58"/>
      <c r="BE345" s="59"/>
    </row>
    <row r="346" spans="56:57" x14ac:dyDescent="0.25">
      <c r="BD346" s="58"/>
      <c r="BE346" s="59"/>
    </row>
    <row r="347" spans="56:57" x14ac:dyDescent="0.25">
      <c r="BD347" s="58"/>
      <c r="BE347" s="59"/>
    </row>
    <row r="348" spans="56:57" x14ac:dyDescent="0.25">
      <c r="BD348" s="58"/>
      <c r="BE348" s="59"/>
    </row>
    <row r="349" spans="56:57" x14ac:dyDescent="0.25">
      <c r="BD349" s="58"/>
      <c r="BE349" s="59"/>
    </row>
    <row r="350" spans="56:57" x14ac:dyDescent="0.25">
      <c r="BD350" s="58"/>
      <c r="BE350" s="59"/>
    </row>
    <row r="351" spans="56:57" x14ac:dyDescent="0.25">
      <c r="BD351" s="58"/>
      <c r="BE351" s="59"/>
    </row>
    <row r="352" spans="56:57" x14ac:dyDescent="0.25">
      <c r="BD352" s="58"/>
      <c r="BE352" s="59"/>
    </row>
    <row r="353" spans="56:57" x14ac:dyDescent="0.25">
      <c r="BD353" s="58"/>
      <c r="BE353" s="59"/>
    </row>
    <row r="354" spans="56:57" x14ac:dyDescent="0.25">
      <c r="BD354" s="58"/>
      <c r="BE354" s="59"/>
    </row>
    <row r="355" spans="56:57" x14ac:dyDescent="0.25">
      <c r="BD355" s="58"/>
      <c r="BE355" s="59"/>
    </row>
    <row r="356" spans="56:57" x14ac:dyDescent="0.25">
      <c r="BD356" s="58"/>
      <c r="BE356" s="59"/>
    </row>
    <row r="357" spans="56:57" x14ac:dyDescent="0.25">
      <c r="BD357" s="58"/>
      <c r="BE357" s="59"/>
    </row>
    <row r="358" spans="56:57" x14ac:dyDescent="0.25">
      <c r="BD358" s="58"/>
      <c r="BE358" s="59"/>
    </row>
    <row r="359" spans="56:57" x14ac:dyDescent="0.25">
      <c r="BD359" s="58"/>
      <c r="BE359" s="59"/>
    </row>
    <row r="360" spans="56:57" x14ac:dyDescent="0.25">
      <c r="BD360" s="58"/>
      <c r="BE360" s="59"/>
    </row>
    <row r="361" spans="56:57" x14ac:dyDescent="0.25">
      <c r="BD361" s="58"/>
      <c r="BE361" s="59"/>
    </row>
    <row r="362" spans="56:57" x14ac:dyDescent="0.25">
      <c r="BD362" s="58"/>
      <c r="BE362" s="59"/>
    </row>
    <row r="363" spans="56:57" x14ac:dyDescent="0.25">
      <c r="BD363" s="58"/>
      <c r="BE363" s="59"/>
    </row>
    <row r="364" spans="56:57" x14ac:dyDescent="0.25">
      <c r="BD364" s="58"/>
      <c r="BE364" s="59"/>
    </row>
    <row r="365" spans="56:57" x14ac:dyDescent="0.25">
      <c r="BD365" s="58"/>
      <c r="BE365" s="59"/>
    </row>
    <row r="366" spans="56:57" x14ac:dyDescent="0.25">
      <c r="BD366" s="58"/>
      <c r="BE366" s="59"/>
    </row>
    <row r="367" spans="56:57" x14ac:dyDescent="0.25">
      <c r="BD367" s="58"/>
      <c r="BE367" s="59"/>
    </row>
    <row r="368" spans="56:57" x14ac:dyDescent="0.25">
      <c r="BD368" s="58"/>
      <c r="BE368" s="59"/>
    </row>
    <row r="369" spans="56:57" x14ac:dyDescent="0.25">
      <c r="BD369" s="58"/>
      <c r="BE369" s="59"/>
    </row>
    <row r="370" spans="56:57" x14ac:dyDescent="0.25">
      <c r="BD370" s="58"/>
      <c r="BE370" s="59"/>
    </row>
    <row r="371" spans="56:57" x14ac:dyDescent="0.25">
      <c r="BD371" s="58"/>
      <c r="BE371" s="59"/>
    </row>
    <row r="372" spans="56:57" x14ac:dyDescent="0.25">
      <c r="BD372" s="58"/>
      <c r="BE372" s="59"/>
    </row>
    <row r="373" spans="56:57" x14ac:dyDescent="0.25">
      <c r="BD373" s="58"/>
      <c r="BE373" s="59"/>
    </row>
    <row r="374" spans="56:57" x14ac:dyDescent="0.25">
      <c r="BD374" s="58"/>
      <c r="BE374" s="59"/>
    </row>
    <row r="375" spans="56:57" x14ac:dyDescent="0.25">
      <c r="BD375" s="58"/>
      <c r="BE375" s="59"/>
    </row>
    <row r="376" spans="56:57" x14ac:dyDescent="0.25">
      <c r="BD376" s="58"/>
      <c r="BE376" s="59"/>
    </row>
    <row r="377" spans="56:57" x14ac:dyDescent="0.25">
      <c r="BD377" s="58"/>
      <c r="BE377" s="59"/>
    </row>
    <row r="378" spans="56:57" x14ac:dyDescent="0.25">
      <c r="BD378" s="58"/>
      <c r="BE378" s="59"/>
    </row>
    <row r="379" spans="56:57" x14ac:dyDescent="0.25">
      <c r="BD379" s="58"/>
      <c r="BE379" s="59"/>
    </row>
    <row r="380" spans="56:57" x14ac:dyDescent="0.25">
      <c r="BD380" s="58"/>
      <c r="BE380" s="59"/>
    </row>
    <row r="381" spans="56:57" x14ac:dyDescent="0.25">
      <c r="BD381" s="58"/>
      <c r="BE381" s="59"/>
    </row>
    <row r="382" spans="56:57" x14ac:dyDescent="0.25">
      <c r="BD382" s="58"/>
      <c r="BE382" s="59"/>
    </row>
    <row r="383" spans="56:57" x14ac:dyDescent="0.25">
      <c r="BD383" s="58"/>
      <c r="BE383" s="59"/>
    </row>
    <row r="384" spans="56:57" x14ac:dyDescent="0.25">
      <c r="BD384" s="58"/>
      <c r="BE384" s="59"/>
    </row>
    <row r="385" spans="56:57" x14ac:dyDescent="0.25">
      <c r="BD385" s="58"/>
      <c r="BE385" s="59"/>
    </row>
    <row r="386" spans="56:57" x14ac:dyDescent="0.25">
      <c r="BD386" s="58"/>
      <c r="BE386" s="59"/>
    </row>
    <row r="387" spans="56:57" x14ac:dyDescent="0.25">
      <c r="BD387" s="58"/>
      <c r="BE387" s="59"/>
    </row>
    <row r="388" spans="56:57" x14ac:dyDescent="0.25">
      <c r="BD388" s="58"/>
      <c r="BE388" s="59"/>
    </row>
    <row r="389" spans="56:57" x14ac:dyDescent="0.25">
      <c r="BD389" s="58"/>
      <c r="BE389" s="59"/>
    </row>
    <row r="390" spans="56:57" x14ac:dyDescent="0.25">
      <c r="BD390" s="58"/>
      <c r="BE390" s="59"/>
    </row>
    <row r="391" spans="56:57" x14ac:dyDescent="0.25">
      <c r="BD391" s="58"/>
      <c r="BE391" s="59"/>
    </row>
    <row r="392" spans="56:57" x14ac:dyDescent="0.25">
      <c r="BD392" s="58"/>
      <c r="BE392" s="59"/>
    </row>
    <row r="393" spans="56:57" x14ac:dyDescent="0.25">
      <c r="BD393" s="58"/>
      <c r="BE393" s="59"/>
    </row>
    <row r="394" spans="56:57" x14ac:dyDescent="0.25">
      <c r="BD394" s="58"/>
      <c r="BE394" s="59"/>
    </row>
    <row r="395" spans="56:57" x14ac:dyDescent="0.25">
      <c r="BD395" s="58"/>
      <c r="BE395" s="59"/>
    </row>
    <row r="396" spans="56:57" x14ac:dyDescent="0.25">
      <c r="BD396" s="58"/>
      <c r="BE396" s="59"/>
    </row>
    <row r="397" spans="56:57" x14ac:dyDescent="0.25">
      <c r="BD397" s="58"/>
      <c r="BE397" s="59"/>
    </row>
    <row r="398" spans="56:57" x14ac:dyDescent="0.25">
      <c r="BD398" s="58"/>
      <c r="BE398" s="59"/>
    </row>
    <row r="399" spans="56:57" x14ac:dyDescent="0.25">
      <c r="BD399" s="58"/>
      <c r="BE399" s="59"/>
    </row>
    <row r="400" spans="56:57" x14ac:dyDescent="0.25">
      <c r="BD400" s="58"/>
      <c r="BE400" s="59"/>
    </row>
    <row r="401" spans="56:57" x14ac:dyDescent="0.25">
      <c r="BD401" s="58"/>
      <c r="BE401" s="59"/>
    </row>
    <row r="402" spans="56:57" x14ac:dyDescent="0.25">
      <c r="BD402" s="58"/>
      <c r="BE402" s="59"/>
    </row>
    <row r="403" spans="56:57" x14ac:dyDescent="0.25">
      <c r="BD403" s="58"/>
      <c r="BE403" s="59"/>
    </row>
    <row r="404" spans="56:57" x14ac:dyDescent="0.25">
      <c r="BD404" s="58"/>
      <c r="BE404" s="59"/>
    </row>
    <row r="405" spans="56:57" x14ac:dyDescent="0.25">
      <c r="BD405" s="58"/>
      <c r="BE405" s="59"/>
    </row>
    <row r="406" spans="56:57" x14ac:dyDescent="0.25">
      <c r="BD406" s="58"/>
      <c r="BE406" s="59"/>
    </row>
    <row r="407" spans="56:57" x14ac:dyDescent="0.25">
      <c r="BD407" s="58"/>
      <c r="BE407" s="59"/>
    </row>
    <row r="408" spans="56:57" x14ac:dyDescent="0.25">
      <c r="BD408" s="58"/>
      <c r="BE408" s="59"/>
    </row>
    <row r="409" spans="56:57" x14ac:dyDescent="0.25">
      <c r="BD409" s="58"/>
      <c r="BE409" s="59"/>
    </row>
    <row r="410" spans="56:57" x14ac:dyDescent="0.25">
      <c r="BD410" s="58"/>
      <c r="BE410" s="59"/>
    </row>
    <row r="411" spans="56:57" x14ac:dyDescent="0.25">
      <c r="BD411" s="58"/>
      <c r="BE411" s="59"/>
    </row>
    <row r="412" spans="56:57" x14ac:dyDescent="0.25">
      <c r="BD412" s="58"/>
      <c r="BE412" s="59"/>
    </row>
    <row r="413" spans="56:57" x14ac:dyDescent="0.25">
      <c r="BD413" s="58"/>
      <c r="BE413" s="59"/>
    </row>
    <row r="414" spans="56:57" x14ac:dyDescent="0.25">
      <c r="BD414" s="58"/>
      <c r="BE414" s="59"/>
    </row>
    <row r="415" spans="56:57" x14ac:dyDescent="0.25">
      <c r="BD415" s="58"/>
      <c r="BE415" s="59"/>
    </row>
    <row r="416" spans="56:57" x14ac:dyDescent="0.25">
      <c r="BD416" s="58"/>
      <c r="BE416" s="59"/>
    </row>
    <row r="417" spans="56:57" x14ac:dyDescent="0.25">
      <c r="BD417" s="58"/>
      <c r="BE417" s="59"/>
    </row>
    <row r="418" spans="56:57" x14ac:dyDescent="0.25">
      <c r="BD418" s="58"/>
      <c r="BE418" s="59"/>
    </row>
    <row r="419" spans="56:57" x14ac:dyDescent="0.25">
      <c r="BD419" s="58"/>
      <c r="BE419" s="59"/>
    </row>
    <row r="420" spans="56:57" x14ac:dyDescent="0.25">
      <c r="BD420" s="58"/>
      <c r="BE420" s="59"/>
    </row>
    <row r="421" spans="56:57" x14ac:dyDescent="0.25">
      <c r="BD421" s="58"/>
      <c r="BE421" s="59"/>
    </row>
    <row r="422" spans="56:57" x14ac:dyDescent="0.25">
      <c r="BD422" s="58"/>
      <c r="BE422" s="59"/>
    </row>
    <row r="423" spans="56:57" x14ac:dyDescent="0.25">
      <c r="BD423" s="58"/>
      <c r="BE423" s="59"/>
    </row>
    <row r="424" spans="56:57" x14ac:dyDescent="0.25">
      <c r="BD424" s="58"/>
      <c r="BE424" s="59"/>
    </row>
    <row r="425" spans="56:57" x14ac:dyDescent="0.25">
      <c r="BD425" s="58"/>
      <c r="BE425" s="59"/>
    </row>
    <row r="426" spans="56:57" x14ac:dyDescent="0.25">
      <c r="BD426" s="58"/>
      <c r="BE426" s="59"/>
    </row>
    <row r="427" spans="56:57" x14ac:dyDescent="0.25">
      <c r="BD427" s="58"/>
      <c r="BE427" s="59"/>
    </row>
    <row r="428" spans="56:57" x14ac:dyDescent="0.25">
      <c r="BD428" s="58"/>
      <c r="BE428" s="59"/>
    </row>
    <row r="429" spans="56:57" x14ac:dyDescent="0.25">
      <c r="BD429" s="58"/>
      <c r="BE429" s="59"/>
    </row>
    <row r="430" spans="56:57" x14ac:dyDescent="0.25">
      <c r="BD430" s="58"/>
      <c r="BE430" s="59"/>
    </row>
    <row r="431" spans="56:57" x14ac:dyDescent="0.25">
      <c r="BD431" s="58"/>
      <c r="BE431" s="59"/>
    </row>
    <row r="432" spans="56:57" x14ac:dyDescent="0.25">
      <c r="BD432" s="58"/>
      <c r="BE432" s="59"/>
    </row>
    <row r="433" spans="56:57" x14ac:dyDescent="0.25">
      <c r="BD433" s="58"/>
      <c r="BE433" s="59"/>
    </row>
    <row r="434" spans="56:57" x14ac:dyDescent="0.25">
      <c r="BD434" s="58"/>
      <c r="BE434" s="59"/>
    </row>
    <row r="435" spans="56:57" x14ac:dyDescent="0.25">
      <c r="BD435" s="58"/>
      <c r="BE435" s="59"/>
    </row>
    <row r="436" spans="56:57" x14ac:dyDescent="0.25">
      <c r="BD436" s="58"/>
      <c r="BE436" s="59"/>
    </row>
    <row r="437" spans="56:57" x14ac:dyDescent="0.25">
      <c r="BD437" s="58"/>
      <c r="BE437" s="59"/>
    </row>
    <row r="438" spans="56:57" x14ac:dyDescent="0.25">
      <c r="BD438" s="58"/>
      <c r="BE438" s="59"/>
    </row>
    <row r="439" spans="56:57" x14ac:dyDescent="0.25">
      <c r="BD439" s="58"/>
      <c r="BE439" s="59"/>
    </row>
    <row r="440" spans="56:57" x14ac:dyDescent="0.25">
      <c r="BD440" s="58"/>
      <c r="BE440" s="59"/>
    </row>
    <row r="441" spans="56:57" x14ac:dyDescent="0.25">
      <c r="BD441" s="58"/>
      <c r="BE441" s="59"/>
    </row>
    <row r="442" spans="56:57" x14ac:dyDescent="0.25">
      <c r="BD442" s="58"/>
      <c r="BE442" s="59"/>
    </row>
    <row r="443" spans="56:57" x14ac:dyDescent="0.25">
      <c r="BD443" s="58"/>
      <c r="BE443" s="59"/>
    </row>
    <row r="444" spans="56:57" x14ac:dyDescent="0.25">
      <c r="BD444" s="58"/>
      <c r="BE444" s="59"/>
    </row>
    <row r="445" spans="56:57" x14ac:dyDescent="0.25">
      <c r="BD445" s="58"/>
      <c r="BE445" s="59"/>
    </row>
    <row r="446" spans="56:57" x14ac:dyDescent="0.25">
      <c r="BD446" s="58"/>
      <c r="BE446" s="59"/>
    </row>
    <row r="447" spans="56:57" x14ac:dyDescent="0.25">
      <c r="BD447" s="58"/>
      <c r="BE447" s="59"/>
    </row>
    <row r="448" spans="56:57" x14ac:dyDescent="0.25">
      <c r="BD448" s="58"/>
      <c r="BE448" s="59"/>
    </row>
    <row r="449" spans="56:57" x14ac:dyDescent="0.25">
      <c r="BD449" s="58"/>
      <c r="BE449" s="59"/>
    </row>
    <row r="450" spans="56:57" x14ac:dyDescent="0.25">
      <c r="BD450" s="58"/>
      <c r="BE450" s="59"/>
    </row>
    <row r="451" spans="56:57" x14ac:dyDescent="0.25">
      <c r="BD451" s="58"/>
      <c r="BE451" s="59"/>
    </row>
    <row r="452" spans="56:57" x14ac:dyDescent="0.25">
      <c r="BD452" s="58"/>
      <c r="BE452" s="59"/>
    </row>
    <row r="453" spans="56:57" x14ac:dyDescent="0.25">
      <c r="BD453" s="58"/>
      <c r="BE453" s="59"/>
    </row>
    <row r="454" spans="56:57" x14ac:dyDescent="0.25">
      <c r="BD454" s="58"/>
      <c r="BE454" s="59"/>
    </row>
    <row r="455" spans="56:57" x14ac:dyDescent="0.25">
      <c r="BD455" s="58"/>
      <c r="BE455" s="59"/>
    </row>
    <row r="456" spans="56:57" x14ac:dyDescent="0.25">
      <c r="BD456" s="58"/>
      <c r="BE456" s="59"/>
    </row>
    <row r="457" spans="56:57" x14ac:dyDescent="0.25">
      <c r="BD457" s="58"/>
      <c r="BE457" s="59"/>
    </row>
    <row r="458" spans="56:57" x14ac:dyDescent="0.25">
      <c r="BD458" s="58"/>
      <c r="BE458" s="59"/>
    </row>
    <row r="459" spans="56:57" x14ac:dyDescent="0.25">
      <c r="BD459" s="58"/>
      <c r="BE459" s="59"/>
    </row>
    <row r="460" spans="56:57" x14ac:dyDescent="0.25">
      <c r="BD460" s="58"/>
      <c r="BE460" s="59"/>
    </row>
    <row r="461" spans="56:57" x14ac:dyDescent="0.25">
      <c r="BD461" s="58"/>
      <c r="BE461" s="59"/>
    </row>
    <row r="462" spans="56:57" x14ac:dyDescent="0.25">
      <c r="BD462" s="58"/>
      <c r="BE462" s="59"/>
    </row>
    <row r="463" spans="56:57" x14ac:dyDescent="0.25">
      <c r="BD463" s="58"/>
      <c r="BE463" s="59"/>
    </row>
    <row r="464" spans="56:57" x14ac:dyDescent="0.25">
      <c r="BD464" s="58"/>
      <c r="BE464" s="59"/>
    </row>
    <row r="465" spans="56:57" x14ac:dyDescent="0.25">
      <c r="BD465" s="58"/>
      <c r="BE465" s="59"/>
    </row>
    <row r="466" spans="56:57" x14ac:dyDescent="0.25">
      <c r="BD466" s="58"/>
      <c r="BE466" s="59"/>
    </row>
    <row r="467" spans="56:57" x14ac:dyDescent="0.25">
      <c r="BD467" s="58"/>
      <c r="BE467" s="59"/>
    </row>
    <row r="468" spans="56:57" x14ac:dyDescent="0.25">
      <c r="BD468" s="58"/>
      <c r="BE468" s="59"/>
    </row>
    <row r="469" spans="56:57" x14ac:dyDescent="0.25">
      <c r="BD469" s="58"/>
      <c r="BE469" s="59"/>
    </row>
    <row r="470" spans="56:57" x14ac:dyDescent="0.25">
      <c r="BD470" s="58"/>
      <c r="BE470" s="59"/>
    </row>
    <row r="471" spans="56:57" x14ac:dyDescent="0.25">
      <c r="BD471" s="58"/>
      <c r="BE471" s="59"/>
    </row>
    <row r="472" spans="56:57" x14ac:dyDescent="0.25">
      <c r="BD472" s="58"/>
      <c r="BE472" s="59"/>
    </row>
    <row r="473" spans="56:57" x14ac:dyDescent="0.25">
      <c r="BD473" s="58"/>
      <c r="BE473" s="59"/>
    </row>
    <row r="474" spans="56:57" x14ac:dyDescent="0.25">
      <c r="BD474" s="58"/>
      <c r="BE474" s="59"/>
    </row>
    <row r="475" spans="56:57" x14ac:dyDescent="0.25">
      <c r="BD475" s="58"/>
      <c r="BE475" s="59"/>
    </row>
    <row r="476" spans="56:57" x14ac:dyDescent="0.25">
      <c r="BD476" s="58"/>
      <c r="BE476" s="59"/>
    </row>
    <row r="477" spans="56:57" x14ac:dyDescent="0.25">
      <c r="BD477" s="58"/>
      <c r="BE477" s="59"/>
    </row>
    <row r="478" spans="56:57" x14ac:dyDescent="0.25">
      <c r="BD478" s="58"/>
      <c r="BE478" s="59"/>
    </row>
    <row r="479" spans="56:57" x14ac:dyDescent="0.25">
      <c r="BD479" s="58"/>
      <c r="BE479" s="59"/>
    </row>
    <row r="480" spans="56:57" x14ac:dyDescent="0.25">
      <c r="BD480" s="58"/>
      <c r="BE480" s="59"/>
    </row>
    <row r="481" spans="56:57" x14ac:dyDescent="0.25">
      <c r="BD481" s="58"/>
      <c r="BE481" s="59"/>
    </row>
    <row r="482" spans="56:57" x14ac:dyDescent="0.25">
      <c r="BD482" s="58"/>
      <c r="BE482" s="59"/>
    </row>
    <row r="483" spans="56:57" x14ac:dyDescent="0.25">
      <c r="BD483" s="58"/>
      <c r="BE483" s="59"/>
    </row>
    <row r="484" spans="56:57" x14ac:dyDescent="0.25">
      <c r="BD484" s="58"/>
      <c r="BE484" s="59"/>
    </row>
    <row r="485" spans="56:57" x14ac:dyDescent="0.25">
      <c r="BD485" s="58"/>
      <c r="BE485" s="59"/>
    </row>
    <row r="486" spans="56:57" x14ac:dyDescent="0.25">
      <c r="BD486" s="58"/>
      <c r="BE486" s="59"/>
    </row>
    <row r="487" spans="56:57" x14ac:dyDescent="0.25">
      <c r="BD487" s="58"/>
      <c r="BE487" s="59"/>
    </row>
    <row r="488" spans="56:57" x14ac:dyDescent="0.25">
      <c r="BD488" s="58"/>
      <c r="BE488" s="59"/>
    </row>
    <row r="489" spans="56:57" x14ac:dyDescent="0.25">
      <c r="BD489" s="58"/>
      <c r="BE489" s="59"/>
    </row>
    <row r="490" spans="56:57" x14ac:dyDescent="0.25">
      <c r="BD490" s="58"/>
      <c r="BE490" s="59"/>
    </row>
    <row r="491" spans="56:57" x14ac:dyDescent="0.25">
      <c r="BD491" s="58"/>
      <c r="BE491" s="59"/>
    </row>
    <row r="492" spans="56:57" x14ac:dyDescent="0.25">
      <c r="BD492" s="58"/>
      <c r="BE492" s="59"/>
    </row>
    <row r="493" spans="56:57" x14ac:dyDescent="0.25">
      <c r="BD493" s="58"/>
      <c r="BE493" s="59"/>
    </row>
    <row r="494" spans="56:57" x14ac:dyDescent="0.25">
      <c r="BD494" s="58"/>
      <c r="BE494" s="59"/>
    </row>
    <row r="495" spans="56:57" x14ac:dyDescent="0.25">
      <c r="BD495" s="58"/>
      <c r="BE495" s="59"/>
    </row>
    <row r="496" spans="56:57" x14ac:dyDescent="0.25">
      <c r="BD496" s="58"/>
      <c r="BE496" s="59"/>
    </row>
    <row r="497" spans="56:57" x14ac:dyDescent="0.25">
      <c r="BD497" s="58"/>
      <c r="BE497" s="59"/>
    </row>
    <row r="498" spans="56:57" x14ac:dyDescent="0.25">
      <c r="BD498" s="58"/>
      <c r="BE498" s="59"/>
    </row>
    <row r="499" spans="56:57" x14ac:dyDescent="0.25">
      <c r="BD499" s="58"/>
      <c r="BE499" s="59"/>
    </row>
    <row r="500" spans="56:57" x14ac:dyDescent="0.25">
      <c r="BD500" s="58"/>
      <c r="BE500" s="59"/>
    </row>
    <row r="501" spans="56:57" x14ac:dyDescent="0.25">
      <c r="BD501" s="58"/>
      <c r="BE501" s="59"/>
    </row>
    <row r="502" spans="56:57" x14ac:dyDescent="0.25">
      <c r="BD502" s="58"/>
      <c r="BE502" s="59"/>
    </row>
    <row r="503" spans="56:57" x14ac:dyDescent="0.25">
      <c r="BD503" s="58"/>
      <c r="BE503" s="59"/>
    </row>
    <row r="504" spans="56:57" x14ac:dyDescent="0.25">
      <c r="BD504" s="58"/>
      <c r="BE504" s="59"/>
    </row>
    <row r="505" spans="56:57" x14ac:dyDescent="0.25">
      <c r="BD505" s="58"/>
      <c r="BE505" s="59"/>
    </row>
    <row r="506" spans="56:57" x14ac:dyDescent="0.25">
      <c r="BD506" s="58"/>
      <c r="BE506" s="59"/>
    </row>
    <row r="507" spans="56:57" x14ac:dyDescent="0.25">
      <c r="BD507" s="58"/>
      <c r="BE507" s="59"/>
    </row>
    <row r="508" spans="56:57" x14ac:dyDescent="0.25">
      <c r="BD508" s="58"/>
      <c r="BE508" s="59"/>
    </row>
    <row r="509" spans="56:57" x14ac:dyDescent="0.25">
      <c r="BD509" s="58"/>
      <c r="BE509" s="59"/>
    </row>
    <row r="510" spans="56:57" x14ac:dyDescent="0.25">
      <c r="BD510" s="58"/>
      <c r="BE510" s="59"/>
    </row>
    <row r="511" spans="56:57" x14ac:dyDescent="0.25">
      <c r="BD511" s="58"/>
      <c r="BE511" s="59"/>
    </row>
    <row r="512" spans="56:57" x14ac:dyDescent="0.25">
      <c r="BD512" s="58"/>
      <c r="BE512" s="59"/>
    </row>
    <row r="513" spans="56:57" x14ac:dyDescent="0.25">
      <c r="BD513" s="58"/>
      <c r="BE513" s="59"/>
    </row>
    <row r="514" spans="56:57" x14ac:dyDescent="0.25">
      <c r="BD514" s="58"/>
      <c r="BE514" s="59"/>
    </row>
    <row r="515" spans="56:57" x14ac:dyDescent="0.25">
      <c r="BD515" s="58"/>
      <c r="BE515" s="59"/>
    </row>
    <row r="516" spans="56:57" x14ac:dyDescent="0.25">
      <c r="BD516" s="58"/>
      <c r="BE516" s="59"/>
    </row>
    <row r="517" spans="56:57" x14ac:dyDescent="0.25">
      <c r="BD517" s="58"/>
      <c r="BE517" s="59"/>
    </row>
    <row r="518" spans="56:57" x14ac:dyDescent="0.25">
      <c r="BD518" s="58"/>
      <c r="BE518" s="59"/>
    </row>
    <row r="519" spans="56:57" x14ac:dyDescent="0.25">
      <c r="BD519" s="58"/>
      <c r="BE519" s="59"/>
    </row>
    <row r="520" spans="56:57" x14ac:dyDescent="0.25">
      <c r="BD520" s="58"/>
      <c r="BE520" s="59"/>
    </row>
    <row r="521" spans="56:57" x14ac:dyDescent="0.25">
      <c r="BD521" s="58"/>
      <c r="BE521" s="59"/>
    </row>
    <row r="522" spans="56:57" x14ac:dyDescent="0.25">
      <c r="BD522" s="58"/>
      <c r="BE522" s="59"/>
    </row>
    <row r="523" spans="56:57" x14ac:dyDescent="0.25">
      <c r="BD523" s="58"/>
      <c r="BE523" s="59"/>
    </row>
    <row r="524" spans="56:57" x14ac:dyDescent="0.25">
      <c r="BD524" s="58"/>
      <c r="BE524" s="59"/>
    </row>
    <row r="525" spans="56:57" x14ac:dyDescent="0.25">
      <c r="BD525" s="58"/>
      <c r="BE525" s="59"/>
    </row>
    <row r="526" spans="56:57" x14ac:dyDescent="0.25">
      <c r="BD526" s="58"/>
      <c r="BE526" s="59"/>
    </row>
    <row r="527" spans="56:57" x14ac:dyDescent="0.25">
      <c r="BD527" s="58"/>
      <c r="BE527" s="59"/>
    </row>
    <row r="528" spans="56:57" x14ac:dyDescent="0.25">
      <c r="BD528" s="58"/>
      <c r="BE528" s="59"/>
    </row>
    <row r="529" spans="56:57" x14ac:dyDescent="0.25">
      <c r="BD529" s="58"/>
      <c r="BE529" s="59"/>
    </row>
    <row r="530" spans="56:57" x14ac:dyDescent="0.25">
      <c r="BD530" s="58"/>
      <c r="BE530" s="59"/>
    </row>
    <row r="531" spans="56:57" x14ac:dyDescent="0.25">
      <c r="BD531" s="58"/>
      <c r="BE531" s="59"/>
    </row>
    <row r="532" spans="56:57" x14ac:dyDescent="0.25">
      <c r="BD532" s="58"/>
      <c r="BE532" s="59"/>
    </row>
    <row r="533" spans="56:57" x14ac:dyDescent="0.25">
      <c r="BD533" s="58"/>
      <c r="BE533" s="59"/>
    </row>
    <row r="534" spans="56:57" x14ac:dyDescent="0.25">
      <c r="BD534" s="58"/>
      <c r="BE534" s="59"/>
    </row>
    <row r="535" spans="56:57" x14ac:dyDescent="0.25">
      <c r="BD535" s="58"/>
      <c r="BE535" s="59"/>
    </row>
    <row r="536" spans="56:57" x14ac:dyDescent="0.25">
      <c r="BD536" s="58"/>
      <c r="BE536" s="59"/>
    </row>
    <row r="537" spans="56:57" x14ac:dyDescent="0.25">
      <c r="BD537" s="58"/>
      <c r="BE537" s="59"/>
    </row>
    <row r="538" spans="56:57" x14ac:dyDescent="0.25">
      <c r="BD538" s="58"/>
      <c r="BE538" s="59"/>
    </row>
    <row r="539" spans="56:57" x14ac:dyDescent="0.25">
      <c r="BD539" s="58"/>
      <c r="BE539" s="59"/>
    </row>
    <row r="540" spans="56:57" x14ac:dyDescent="0.25">
      <c r="BD540" s="58"/>
      <c r="BE540" s="59"/>
    </row>
    <row r="541" spans="56:57" x14ac:dyDescent="0.25">
      <c r="BD541" s="58"/>
      <c r="BE541" s="59"/>
    </row>
    <row r="542" spans="56:57" x14ac:dyDescent="0.25">
      <c r="BD542" s="58"/>
      <c r="BE542" s="59"/>
    </row>
    <row r="543" spans="56:57" x14ac:dyDescent="0.25">
      <c r="BD543" s="58"/>
      <c r="BE543" s="59"/>
    </row>
    <row r="544" spans="56:57" x14ac:dyDescent="0.25">
      <c r="BD544" s="58"/>
      <c r="BE544" s="59"/>
    </row>
    <row r="545" spans="56:57" x14ac:dyDescent="0.25">
      <c r="BD545" s="58"/>
      <c r="BE545" s="59"/>
    </row>
    <row r="546" spans="56:57" x14ac:dyDescent="0.25">
      <c r="BD546" s="58"/>
      <c r="BE546" s="59"/>
    </row>
    <row r="547" spans="56:57" x14ac:dyDescent="0.25">
      <c r="BD547" s="58"/>
      <c r="BE547" s="59"/>
    </row>
    <row r="548" spans="56:57" x14ac:dyDescent="0.25">
      <c r="BD548" s="58"/>
      <c r="BE548" s="59"/>
    </row>
    <row r="549" spans="56:57" x14ac:dyDescent="0.25">
      <c r="BD549" s="58"/>
      <c r="BE549" s="59"/>
    </row>
    <row r="550" spans="56:57" x14ac:dyDescent="0.25">
      <c r="BD550" s="58"/>
      <c r="BE550" s="59"/>
    </row>
    <row r="551" spans="56:57" x14ac:dyDescent="0.25">
      <c r="BD551" s="58"/>
      <c r="BE551" s="59"/>
    </row>
    <row r="552" spans="56:57" x14ac:dyDescent="0.25">
      <c r="BD552" s="58"/>
      <c r="BE552" s="59"/>
    </row>
    <row r="553" spans="56:57" x14ac:dyDescent="0.25">
      <c r="BD553" s="58"/>
      <c r="BE553" s="59"/>
    </row>
    <row r="554" spans="56:57" x14ac:dyDescent="0.25">
      <c r="BD554" s="58"/>
      <c r="BE554" s="59"/>
    </row>
    <row r="555" spans="56:57" x14ac:dyDescent="0.25">
      <c r="BD555" s="58"/>
      <c r="BE555" s="59"/>
    </row>
    <row r="556" spans="56:57" x14ac:dyDescent="0.25">
      <c r="BD556" s="58"/>
      <c r="BE556" s="59"/>
    </row>
    <row r="557" spans="56:57" x14ac:dyDescent="0.25">
      <c r="BD557" s="58"/>
      <c r="BE557" s="59"/>
    </row>
    <row r="558" spans="56:57" x14ac:dyDescent="0.25">
      <c r="BD558" s="58"/>
      <c r="BE558" s="59"/>
    </row>
    <row r="559" spans="56:57" x14ac:dyDescent="0.25">
      <c r="BD559" s="58"/>
      <c r="BE559" s="59"/>
    </row>
    <row r="560" spans="56:57" x14ac:dyDescent="0.25">
      <c r="BD560" s="58"/>
      <c r="BE560" s="59"/>
    </row>
    <row r="561" spans="56:57" x14ac:dyDescent="0.25">
      <c r="BD561" s="58"/>
      <c r="BE561" s="59"/>
    </row>
    <row r="562" spans="56:57" x14ac:dyDescent="0.25">
      <c r="BD562" s="58"/>
      <c r="BE562" s="59"/>
    </row>
    <row r="563" spans="56:57" x14ac:dyDescent="0.25">
      <c r="BD563" s="58"/>
      <c r="BE563" s="59"/>
    </row>
    <row r="564" spans="56:57" x14ac:dyDescent="0.25">
      <c r="BD564" s="58"/>
      <c r="BE564" s="59"/>
    </row>
    <row r="565" spans="56:57" x14ac:dyDescent="0.25">
      <c r="BD565" s="58"/>
      <c r="BE565" s="59"/>
    </row>
    <row r="566" spans="56:57" x14ac:dyDescent="0.25">
      <c r="BD566" s="58"/>
      <c r="BE566" s="59"/>
    </row>
    <row r="567" spans="56:57" x14ac:dyDescent="0.25">
      <c r="BD567" s="58"/>
      <c r="BE567" s="59"/>
    </row>
    <row r="568" spans="56:57" x14ac:dyDescent="0.25">
      <c r="BD568" s="58"/>
      <c r="BE568" s="59"/>
    </row>
    <row r="569" spans="56:57" x14ac:dyDescent="0.25">
      <c r="BD569" s="58"/>
      <c r="BE569" s="59"/>
    </row>
    <row r="570" spans="56:57" x14ac:dyDescent="0.25">
      <c r="BD570" s="58"/>
      <c r="BE570" s="59"/>
    </row>
    <row r="571" spans="56:57" x14ac:dyDescent="0.25">
      <c r="BD571" s="58"/>
      <c r="BE571" s="59"/>
    </row>
    <row r="572" spans="56:57" x14ac:dyDescent="0.25">
      <c r="BD572" s="58"/>
      <c r="BE572" s="59"/>
    </row>
    <row r="573" spans="56:57" x14ac:dyDescent="0.25">
      <c r="BD573" s="58"/>
      <c r="BE573" s="59"/>
    </row>
    <row r="574" spans="56:57" x14ac:dyDescent="0.25">
      <c r="BD574" s="58"/>
      <c r="BE574" s="59"/>
    </row>
    <row r="575" spans="56:57" x14ac:dyDescent="0.25">
      <c r="BD575" s="58"/>
      <c r="BE575" s="59"/>
    </row>
    <row r="576" spans="56:57" x14ac:dyDescent="0.25">
      <c r="BD576" s="58"/>
      <c r="BE576" s="59"/>
    </row>
    <row r="577" spans="56:57" x14ac:dyDescent="0.25">
      <c r="BD577" s="58"/>
      <c r="BE577" s="59"/>
    </row>
    <row r="578" spans="56:57" x14ac:dyDescent="0.25">
      <c r="BD578" s="58"/>
      <c r="BE578" s="59"/>
    </row>
    <row r="579" spans="56:57" x14ac:dyDescent="0.25">
      <c r="BD579" s="58"/>
      <c r="BE579" s="59"/>
    </row>
    <row r="580" spans="56:57" x14ac:dyDescent="0.25">
      <c r="BD580" s="58"/>
      <c r="BE580" s="59"/>
    </row>
    <row r="581" spans="56:57" x14ac:dyDescent="0.25">
      <c r="BD581" s="58"/>
      <c r="BE581" s="59"/>
    </row>
    <row r="582" spans="56:57" x14ac:dyDescent="0.25">
      <c r="BD582" s="58"/>
      <c r="BE582" s="59"/>
    </row>
    <row r="583" spans="56:57" x14ac:dyDescent="0.25">
      <c r="BD583" s="58"/>
      <c r="BE583" s="59"/>
    </row>
    <row r="584" spans="56:57" x14ac:dyDescent="0.25">
      <c r="BD584" s="58"/>
      <c r="BE584" s="59"/>
    </row>
    <row r="585" spans="56:57" x14ac:dyDescent="0.25">
      <c r="BD585" s="58"/>
      <c r="BE585" s="59"/>
    </row>
    <row r="586" spans="56:57" x14ac:dyDescent="0.25">
      <c r="BD586" s="58"/>
      <c r="BE586" s="59"/>
    </row>
    <row r="587" spans="56:57" x14ac:dyDescent="0.25">
      <c r="BD587" s="58"/>
      <c r="BE587" s="59"/>
    </row>
    <row r="588" spans="56:57" x14ac:dyDescent="0.25">
      <c r="BD588" s="58"/>
      <c r="BE588" s="59"/>
    </row>
    <row r="589" spans="56:57" x14ac:dyDescent="0.25">
      <c r="BD589" s="58"/>
      <c r="BE589" s="59"/>
    </row>
    <row r="590" spans="56:57" x14ac:dyDescent="0.25">
      <c r="BD590" s="58"/>
      <c r="BE590" s="59"/>
    </row>
    <row r="591" spans="56:57" x14ac:dyDescent="0.25">
      <c r="BD591" s="58"/>
      <c r="BE591" s="59"/>
    </row>
    <row r="592" spans="56:57" x14ac:dyDescent="0.25">
      <c r="BD592" s="58"/>
      <c r="BE592" s="59"/>
    </row>
    <row r="593" spans="56:57" x14ac:dyDescent="0.25">
      <c r="BD593" s="58"/>
      <c r="BE593" s="59"/>
    </row>
    <row r="594" spans="56:57" x14ac:dyDescent="0.25">
      <c r="BD594" s="58"/>
      <c r="BE594" s="59"/>
    </row>
    <row r="595" spans="56:57" x14ac:dyDescent="0.25">
      <c r="BD595" s="58"/>
      <c r="BE595" s="59"/>
    </row>
    <row r="596" spans="56:57" x14ac:dyDescent="0.25">
      <c r="BD596" s="58"/>
      <c r="BE596" s="59"/>
    </row>
    <row r="597" spans="56:57" x14ac:dyDescent="0.25">
      <c r="BD597" s="58"/>
      <c r="BE597" s="59"/>
    </row>
    <row r="598" spans="56:57" x14ac:dyDescent="0.25">
      <c r="BD598" s="58"/>
      <c r="BE598" s="59"/>
    </row>
    <row r="599" spans="56:57" x14ac:dyDescent="0.25">
      <c r="BD599" s="58"/>
      <c r="BE599" s="59"/>
    </row>
    <row r="600" spans="56:57" x14ac:dyDescent="0.25">
      <c r="BD600" s="58"/>
      <c r="BE600" s="59"/>
    </row>
    <row r="601" spans="56:57" x14ac:dyDescent="0.25">
      <c r="BD601" s="58"/>
      <c r="BE601" s="59"/>
    </row>
    <row r="602" spans="56:57" x14ac:dyDescent="0.25">
      <c r="BD602" s="58"/>
      <c r="BE602" s="59"/>
    </row>
    <row r="603" spans="56:57" x14ac:dyDescent="0.25">
      <c r="BD603" s="58"/>
      <c r="BE603" s="59"/>
    </row>
    <row r="604" spans="56:57" x14ac:dyDescent="0.25">
      <c r="BD604" s="58"/>
      <c r="BE604" s="59"/>
    </row>
    <row r="605" spans="56:57" x14ac:dyDescent="0.25">
      <c r="BD605" s="58"/>
      <c r="BE605" s="59"/>
    </row>
    <row r="606" spans="56:57" x14ac:dyDescent="0.25">
      <c r="BD606" s="58"/>
      <c r="BE606" s="59"/>
    </row>
    <row r="607" spans="56:57" x14ac:dyDescent="0.25">
      <c r="BD607" s="58"/>
      <c r="BE607" s="59"/>
    </row>
    <row r="608" spans="56:57" x14ac:dyDescent="0.25">
      <c r="BD608" s="58"/>
      <c r="BE608" s="59"/>
    </row>
    <row r="609" spans="56:57" x14ac:dyDescent="0.25">
      <c r="BD609" s="58"/>
      <c r="BE609" s="59"/>
    </row>
    <row r="610" spans="56:57" x14ac:dyDescent="0.25">
      <c r="BD610" s="58"/>
      <c r="BE610" s="59"/>
    </row>
    <row r="611" spans="56:57" x14ac:dyDescent="0.25">
      <c r="BD611" s="58"/>
      <c r="BE611" s="59"/>
    </row>
    <row r="612" spans="56:57" x14ac:dyDescent="0.25">
      <c r="BD612" s="58"/>
      <c r="BE612" s="59"/>
    </row>
    <row r="613" spans="56:57" x14ac:dyDescent="0.25">
      <c r="BD613" s="58"/>
      <c r="BE613" s="59"/>
    </row>
    <row r="614" spans="56:57" x14ac:dyDescent="0.25">
      <c r="BD614" s="58"/>
      <c r="BE614" s="59"/>
    </row>
    <row r="615" spans="56:57" x14ac:dyDescent="0.25">
      <c r="BD615" s="58"/>
      <c r="BE615" s="59"/>
    </row>
    <row r="616" spans="56:57" x14ac:dyDescent="0.25">
      <c r="BD616" s="58"/>
      <c r="BE616" s="59"/>
    </row>
    <row r="617" spans="56:57" x14ac:dyDescent="0.25">
      <c r="BD617" s="58"/>
      <c r="BE617" s="59"/>
    </row>
    <row r="618" spans="56:57" x14ac:dyDescent="0.25">
      <c r="BD618" s="58"/>
      <c r="BE618" s="59"/>
    </row>
    <row r="619" spans="56:57" x14ac:dyDescent="0.25">
      <c r="BD619" s="58"/>
      <c r="BE619" s="59"/>
    </row>
    <row r="620" spans="56:57" x14ac:dyDescent="0.25">
      <c r="BD620" s="58"/>
      <c r="BE620" s="59"/>
    </row>
    <row r="621" spans="56:57" x14ac:dyDescent="0.25">
      <c r="BD621" s="58"/>
      <c r="BE621" s="59"/>
    </row>
    <row r="622" spans="56:57" x14ac:dyDescent="0.25">
      <c r="BD622" s="58"/>
      <c r="BE622" s="59"/>
    </row>
    <row r="623" spans="56:57" x14ac:dyDescent="0.25">
      <c r="BD623" s="58"/>
      <c r="BE623" s="59"/>
    </row>
    <row r="624" spans="56:57" x14ac:dyDescent="0.25">
      <c r="BD624" s="58"/>
      <c r="BE624" s="59"/>
    </row>
    <row r="625" spans="56:57" x14ac:dyDescent="0.25">
      <c r="BD625" s="58"/>
      <c r="BE625" s="59"/>
    </row>
    <row r="626" spans="56:57" x14ac:dyDescent="0.25">
      <c r="BD626" s="58"/>
      <c r="BE626" s="59"/>
    </row>
    <row r="627" spans="56:57" x14ac:dyDescent="0.25">
      <c r="BD627" s="58"/>
      <c r="BE627" s="59"/>
    </row>
    <row r="628" spans="56:57" x14ac:dyDescent="0.25">
      <c r="BD628" s="58"/>
      <c r="BE628" s="59"/>
    </row>
    <row r="629" spans="56:57" x14ac:dyDescent="0.25">
      <c r="BD629" s="58"/>
      <c r="BE629" s="59"/>
    </row>
    <row r="630" spans="56:57" x14ac:dyDescent="0.25">
      <c r="BD630" s="58"/>
      <c r="BE630" s="59"/>
    </row>
    <row r="631" spans="56:57" x14ac:dyDescent="0.25">
      <c r="BD631" s="58"/>
      <c r="BE631" s="59"/>
    </row>
    <row r="632" spans="56:57" x14ac:dyDescent="0.25">
      <c r="BD632" s="58"/>
      <c r="BE632" s="59"/>
    </row>
    <row r="633" spans="56:57" x14ac:dyDescent="0.25">
      <c r="BD633" s="58"/>
      <c r="BE633" s="59"/>
    </row>
    <row r="634" spans="56:57" x14ac:dyDescent="0.25">
      <c r="BD634" s="58"/>
      <c r="BE634" s="59"/>
    </row>
    <row r="635" spans="56:57" x14ac:dyDescent="0.25">
      <c r="BD635" s="58"/>
      <c r="BE635" s="59"/>
    </row>
    <row r="636" spans="56:57" x14ac:dyDescent="0.25">
      <c r="BD636" s="58"/>
      <c r="BE636" s="59"/>
    </row>
    <row r="637" spans="56:57" x14ac:dyDescent="0.25">
      <c r="BD637" s="58"/>
      <c r="BE637" s="59"/>
    </row>
    <row r="638" spans="56:57" x14ac:dyDescent="0.25">
      <c r="BD638" s="58"/>
      <c r="BE638" s="59"/>
    </row>
    <row r="639" spans="56:57" x14ac:dyDescent="0.25">
      <c r="BD639" s="58"/>
      <c r="BE639" s="59"/>
    </row>
    <row r="640" spans="56:57" x14ac:dyDescent="0.25">
      <c r="BD640" s="58"/>
      <c r="BE640" s="59"/>
    </row>
    <row r="641" spans="56:57" x14ac:dyDescent="0.25">
      <c r="BD641" s="58"/>
      <c r="BE641" s="59"/>
    </row>
    <row r="642" spans="56:57" x14ac:dyDescent="0.25">
      <c r="BD642" s="58"/>
      <c r="BE642" s="59"/>
    </row>
    <row r="643" spans="56:57" x14ac:dyDescent="0.25">
      <c r="BD643" s="58"/>
      <c r="BE643" s="59"/>
    </row>
    <row r="644" spans="56:57" x14ac:dyDescent="0.25">
      <c r="BD644" s="58"/>
      <c r="BE644" s="59"/>
    </row>
    <row r="645" spans="56:57" x14ac:dyDescent="0.25">
      <c r="BD645" s="58"/>
      <c r="BE645" s="59"/>
    </row>
    <row r="646" spans="56:57" x14ac:dyDescent="0.25">
      <c r="BD646" s="58"/>
      <c r="BE646" s="59"/>
    </row>
    <row r="647" spans="56:57" x14ac:dyDescent="0.25">
      <c r="BD647" s="58"/>
      <c r="BE647" s="59"/>
    </row>
    <row r="648" spans="56:57" x14ac:dyDescent="0.25">
      <c r="BD648" s="58"/>
      <c r="BE648" s="59"/>
    </row>
    <row r="649" spans="56:57" x14ac:dyDescent="0.25">
      <c r="BD649" s="58"/>
      <c r="BE649" s="59"/>
    </row>
    <row r="650" spans="56:57" x14ac:dyDescent="0.25">
      <c r="BD650" s="58"/>
      <c r="BE650" s="59"/>
    </row>
    <row r="651" spans="56:57" x14ac:dyDescent="0.25">
      <c r="BD651" s="58"/>
      <c r="BE651" s="59"/>
    </row>
    <row r="652" spans="56:57" x14ac:dyDescent="0.25">
      <c r="BD652" s="58"/>
      <c r="BE652" s="59"/>
    </row>
    <row r="653" spans="56:57" x14ac:dyDescent="0.25">
      <c r="BD653" s="58"/>
      <c r="BE653" s="59"/>
    </row>
    <row r="654" spans="56:57" x14ac:dyDescent="0.25">
      <c r="BD654" s="58"/>
      <c r="BE654" s="59"/>
    </row>
    <row r="655" spans="56:57" x14ac:dyDescent="0.25">
      <c r="BD655" s="58"/>
      <c r="BE655" s="59"/>
    </row>
    <row r="656" spans="56:57" x14ac:dyDescent="0.25">
      <c r="BD656" s="58"/>
      <c r="BE656" s="59"/>
    </row>
    <row r="657" spans="56:57" x14ac:dyDescent="0.25">
      <c r="BD657" s="58"/>
      <c r="BE657" s="59"/>
    </row>
    <row r="658" spans="56:57" x14ac:dyDescent="0.25">
      <c r="BD658" s="58"/>
      <c r="BE658" s="59"/>
    </row>
    <row r="659" spans="56:57" x14ac:dyDescent="0.25">
      <c r="BD659" s="58"/>
      <c r="BE659" s="59"/>
    </row>
    <row r="660" spans="56:57" x14ac:dyDescent="0.25">
      <c r="BD660" s="58"/>
      <c r="BE660" s="59"/>
    </row>
    <row r="661" spans="56:57" x14ac:dyDescent="0.25">
      <c r="BD661" s="58"/>
      <c r="BE661" s="59"/>
    </row>
    <row r="662" spans="56:57" x14ac:dyDescent="0.25">
      <c r="BD662" s="58"/>
      <c r="BE662" s="59"/>
    </row>
    <row r="663" spans="56:57" x14ac:dyDescent="0.25">
      <c r="BD663" s="58"/>
      <c r="BE663" s="59"/>
    </row>
    <row r="664" spans="56:57" x14ac:dyDescent="0.25">
      <c r="BD664" s="58"/>
      <c r="BE664" s="59"/>
    </row>
    <row r="665" spans="56:57" x14ac:dyDescent="0.25">
      <c r="BD665" s="58"/>
      <c r="BE665" s="59"/>
    </row>
    <row r="666" spans="56:57" x14ac:dyDescent="0.25">
      <c r="BD666" s="58"/>
      <c r="BE666" s="59"/>
    </row>
    <row r="667" spans="56:57" x14ac:dyDescent="0.25">
      <c r="BD667" s="58"/>
      <c r="BE667" s="59"/>
    </row>
    <row r="668" spans="56:57" x14ac:dyDescent="0.25">
      <c r="BD668" s="58"/>
      <c r="BE668" s="59"/>
    </row>
    <row r="669" spans="56:57" x14ac:dyDescent="0.25">
      <c r="BD669" s="58"/>
      <c r="BE669" s="59"/>
    </row>
    <row r="670" spans="56:57" x14ac:dyDescent="0.25">
      <c r="BD670" s="58"/>
      <c r="BE670" s="59"/>
    </row>
    <row r="671" spans="56:57" x14ac:dyDescent="0.25">
      <c r="BD671" s="58"/>
      <c r="BE671" s="59"/>
    </row>
    <row r="672" spans="56:57" x14ac:dyDescent="0.25">
      <c r="BD672" s="58"/>
      <c r="BE672" s="59"/>
    </row>
    <row r="673" spans="56:57" x14ac:dyDescent="0.25">
      <c r="BD673" s="58"/>
      <c r="BE673" s="59"/>
    </row>
    <row r="674" spans="56:57" x14ac:dyDescent="0.25">
      <c r="BD674" s="58"/>
      <c r="BE674" s="59"/>
    </row>
    <row r="675" spans="56:57" x14ac:dyDescent="0.25">
      <c r="BD675" s="58"/>
      <c r="BE675" s="59"/>
    </row>
    <row r="676" spans="56:57" x14ac:dyDescent="0.25">
      <c r="BD676" s="58"/>
      <c r="BE676" s="59"/>
    </row>
    <row r="677" spans="56:57" x14ac:dyDescent="0.25">
      <c r="BD677" s="58"/>
      <c r="BE677" s="59"/>
    </row>
    <row r="678" spans="56:57" x14ac:dyDescent="0.25">
      <c r="BD678" s="58"/>
      <c r="BE678" s="59"/>
    </row>
    <row r="679" spans="56:57" x14ac:dyDescent="0.25">
      <c r="BD679" s="58"/>
      <c r="BE679" s="59"/>
    </row>
    <row r="680" spans="56:57" x14ac:dyDescent="0.25">
      <c r="BD680" s="58"/>
      <c r="BE680" s="59"/>
    </row>
    <row r="681" spans="56:57" x14ac:dyDescent="0.25">
      <c r="BD681" s="58"/>
      <c r="BE681" s="59"/>
    </row>
    <row r="682" spans="56:57" x14ac:dyDescent="0.25">
      <c r="BD682" s="58"/>
      <c r="BE682" s="59"/>
    </row>
    <row r="683" spans="56:57" x14ac:dyDescent="0.25">
      <c r="BD683" s="58"/>
      <c r="BE683" s="59"/>
    </row>
    <row r="684" spans="56:57" x14ac:dyDescent="0.25">
      <c r="BD684" s="58"/>
      <c r="BE684" s="59"/>
    </row>
    <row r="685" spans="56:57" x14ac:dyDescent="0.25">
      <c r="BD685" s="58"/>
      <c r="BE685" s="59"/>
    </row>
    <row r="686" spans="56:57" x14ac:dyDescent="0.25">
      <c r="BD686" s="58"/>
      <c r="BE686" s="59"/>
    </row>
    <row r="687" spans="56:57" x14ac:dyDescent="0.25">
      <c r="BD687" s="58"/>
      <c r="BE687" s="59"/>
    </row>
    <row r="688" spans="56:57" x14ac:dyDescent="0.25">
      <c r="BD688" s="58"/>
      <c r="BE688" s="59"/>
    </row>
    <row r="689" spans="56:57" x14ac:dyDescent="0.25">
      <c r="BD689" s="58"/>
      <c r="BE689" s="59"/>
    </row>
    <row r="690" spans="56:57" x14ac:dyDescent="0.25">
      <c r="BD690" s="58"/>
      <c r="BE690" s="59"/>
    </row>
    <row r="691" spans="56:57" x14ac:dyDescent="0.25">
      <c r="BD691" s="58"/>
      <c r="BE691" s="59"/>
    </row>
    <row r="692" spans="56:57" x14ac:dyDescent="0.25">
      <c r="BD692" s="58"/>
      <c r="BE692" s="59"/>
    </row>
    <row r="693" spans="56:57" x14ac:dyDescent="0.25">
      <c r="BD693" s="58"/>
      <c r="BE693" s="59"/>
    </row>
    <row r="694" spans="56:57" x14ac:dyDescent="0.25">
      <c r="BD694" s="58"/>
      <c r="BE694" s="59"/>
    </row>
    <row r="695" spans="56:57" x14ac:dyDescent="0.25">
      <c r="BD695" s="58"/>
      <c r="BE695" s="59"/>
    </row>
    <row r="696" spans="56:57" x14ac:dyDescent="0.25">
      <c r="BD696" s="58"/>
      <c r="BE696" s="59"/>
    </row>
    <row r="697" spans="56:57" x14ac:dyDescent="0.25">
      <c r="BD697" s="58"/>
      <c r="BE697" s="59"/>
    </row>
    <row r="698" spans="56:57" x14ac:dyDescent="0.25">
      <c r="BD698" s="58"/>
      <c r="BE698" s="59"/>
    </row>
    <row r="699" spans="56:57" x14ac:dyDescent="0.25">
      <c r="BD699" s="58"/>
      <c r="BE699" s="59"/>
    </row>
    <row r="700" spans="56:57" x14ac:dyDescent="0.25">
      <c r="BD700" s="58"/>
      <c r="BE700" s="59"/>
    </row>
    <row r="701" spans="56:57" x14ac:dyDescent="0.25">
      <c r="BD701" s="58"/>
      <c r="BE701" s="59"/>
    </row>
    <row r="702" spans="56:57" x14ac:dyDescent="0.25">
      <c r="BD702" s="58"/>
      <c r="BE702" s="59"/>
    </row>
    <row r="703" spans="56:57" x14ac:dyDescent="0.25">
      <c r="BD703" s="58"/>
      <c r="BE703" s="59"/>
    </row>
    <row r="704" spans="56:57" x14ac:dyDescent="0.25">
      <c r="BD704" s="58"/>
      <c r="BE704" s="59"/>
    </row>
    <row r="705" spans="56:57" x14ac:dyDescent="0.25">
      <c r="BD705" s="58"/>
      <c r="BE705" s="59"/>
    </row>
    <row r="706" spans="56:57" x14ac:dyDescent="0.25">
      <c r="BD706" s="58"/>
      <c r="BE706" s="59"/>
    </row>
    <row r="707" spans="56:57" x14ac:dyDescent="0.25">
      <c r="BD707" s="58"/>
      <c r="BE707" s="59"/>
    </row>
    <row r="708" spans="56:57" x14ac:dyDescent="0.25">
      <c r="BD708" s="58"/>
      <c r="BE708" s="59"/>
    </row>
    <row r="709" spans="56:57" x14ac:dyDescent="0.25">
      <c r="BD709" s="58"/>
      <c r="BE709" s="59"/>
    </row>
    <row r="710" spans="56:57" x14ac:dyDescent="0.25">
      <c r="BD710" s="58"/>
      <c r="BE710" s="59"/>
    </row>
    <row r="711" spans="56:57" x14ac:dyDescent="0.25">
      <c r="BD711" s="58"/>
      <c r="BE711" s="59"/>
    </row>
    <row r="712" spans="56:57" x14ac:dyDescent="0.25">
      <c r="BD712" s="58"/>
      <c r="BE712" s="59"/>
    </row>
    <row r="713" spans="56:57" x14ac:dyDescent="0.25">
      <c r="BD713" s="58"/>
      <c r="BE713" s="59"/>
    </row>
    <row r="714" spans="56:57" x14ac:dyDescent="0.25">
      <c r="BD714" s="58"/>
      <c r="BE714" s="59"/>
    </row>
    <row r="715" spans="56:57" x14ac:dyDescent="0.25">
      <c r="BD715" s="58"/>
      <c r="BE715" s="59"/>
    </row>
    <row r="716" spans="56:57" x14ac:dyDescent="0.25">
      <c r="BD716" s="58"/>
      <c r="BE716" s="59"/>
    </row>
    <row r="717" spans="56:57" x14ac:dyDescent="0.25">
      <c r="BD717" s="58"/>
      <c r="BE717" s="59"/>
    </row>
    <row r="718" spans="56:57" x14ac:dyDescent="0.25">
      <c r="BD718" s="58"/>
      <c r="BE718" s="59"/>
    </row>
    <row r="719" spans="56:57" x14ac:dyDescent="0.25">
      <c r="BD719" s="58"/>
      <c r="BE719" s="59"/>
    </row>
    <row r="720" spans="56:57" x14ac:dyDescent="0.25">
      <c r="BD720" s="58"/>
      <c r="BE720" s="59"/>
    </row>
    <row r="721" spans="56:57" x14ac:dyDescent="0.25">
      <c r="BD721" s="58"/>
      <c r="BE721" s="59"/>
    </row>
    <row r="722" spans="56:57" x14ac:dyDescent="0.25">
      <c r="BD722" s="58"/>
      <c r="BE722" s="59"/>
    </row>
    <row r="723" spans="56:57" x14ac:dyDescent="0.25">
      <c r="BD723" s="58"/>
      <c r="BE723" s="59"/>
    </row>
    <row r="724" spans="56:57" x14ac:dyDescent="0.25">
      <c r="BD724" s="58"/>
      <c r="BE724" s="59"/>
    </row>
    <row r="725" spans="56:57" x14ac:dyDescent="0.25">
      <c r="BD725" s="58"/>
      <c r="BE725" s="59"/>
    </row>
    <row r="726" spans="56:57" x14ac:dyDescent="0.25">
      <c r="BD726" s="58"/>
      <c r="BE726" s="59"/>
    </row>
    <row r="727" spans="56:57" x14ac:dyDescent="0.25">
      <c r="BD727" s="58"/>
      <c r="BE727" s="59"/>
    </row>
    <row r="728" spans="56:57" x14ac:dyDescent="0.25">
      <c r="BD728" s="58"/>
      <c r="BE728" s="59"/>
    </row>
    <row r="729" spans="56:57" x14ac:dyDescent="0.25">
      <c r="BD729" s="58"/>
      <c r="BE729" s="59"/>
    </row>
    <row r="730" spans="56:57" x14ac:dyDescent="0.25">
      <c r="BD730" s="58"/>
      <c r="BE730" s="59"/>
    </row>
    <row r="731" spans="56:57" x14ac:dyDescent="0.25">
      <c r="BD731" s="58"/>
      <c r="BE731" s="59"/>
    </row>
    <row r="732" spans="56:57" x14ac:dyDescent="0.25">
      <c r="BD732" s="58"/>
      <c r="BE732" s="59"/>
    </row>
    <row r="733" spans="56:57" x14ac:dyDescent="0.25">
      <c r="BD733" s="58"/>
      <c r="BE733" s="59"/>
    </row>
    <row r="734" spans="56:57" x14ac:dyDescent="0.25">
      <c r="BD734" s="58"/>
      <c r="BE734" s="59"/>
    </row>
    <row r="735" spans="56:57" x14ac:dyDescent="0.25">
      <c r="BD735" s="58"/>
      <c r="BE735" s="59"/>
    </row>
    <row r="736" spans="56:57" x14ac:dyDescent="0.25">
      <c r="BD736" s="58"/>
      <c r="BE736" s="59"/>
    </row>
    <row r="737" spans="56:57" x14ac:dyDescent="0.25">
      <c r="BD737" s="58"/>
      <c r="BE737" s="59"/>
    </row>
    <row r="738" spans="56:57" x14ac:dyDescent="0.25">
      <c r="BD738" s="58"/>
      <c r="BE738" s="59"/>
    </row>
    <row r="739" spans="56:57" x14ac:dyDescent="0.25">
      <c r="BD739" s="58"/>
      <c r="BE739" s="59"/>
    </row>
    <row r="740" spans="56:57" x14ac:dyDescent="0.25">
      <c r="BD740" s="58"/>
      <c r="BE740" s="59"/>
    </row>
    <row r="741" spans="56:57" x14ac:dyDescent="0.25">
      <c r="BD741" s="58"/>
      <c r="BE741" s="59"/>
    </row>
    <row r="742" spans="56:57" x14ac:dyDescent="0.25">
      <c r="BD742" s="58"/>
      <c r="BE742" s="59"/>
    </row>
    <row r="743" spans="56:57" x14ac:dyDescent="0.25">
      <c r="BD743" s="58"/>
      <c r="BE743" s="59"/>
    </row>
    <row r="744" spans="56:57" x14ac:dyDescent="0.25">
      <c r="BD744" s="58"/>
      <c r="BE744" s="59"/>
    </row>
    <row r="745" spans="56:57" x14ac:dyDescent="0.25">
      <c r="BD745" s="58"/>
      <c r="BE745" s="59"/>
    </row>
    <row r="746" spans="56:57" x14ac:dyDescent="0.25">
      <c r="BD746" s="58"/>
      <c r="BE746" s="59"/>
    </row>
    <row r="747" spans="56:57" x14ac:dyDescent="0.25">
      <c r="BD747" s="58"/>
      <c r="BE747" s="59"/>
    </row>
    <row r="748" spans="56:57" x14ac:dyDescent="0.25">
      <c r="BD748" s="58"/>
      <c r="BE748" s="59"/>
    </row>
    <row r="749" spans="56:57" x14ac:dyDescent="0.25">
      <c r="BD749" s="58"/>
      <c r="BE749" s="59"/>
    </row>
    <row r="750" spans="56:57" x14ac:dyDescent="0.25">
      <c r="BD750" s="58"/>
      <c r="BE750" s="59"/>
    </row>
    <row r="751" spans="56:57" x14ac:dyDescent="0.25">
      <c r="BD751" s="58"/>
      <c r="BE751" s="59"/>
    </row>
    <row r="752" spans="56:57" x14ac:dyDescent="0.25">
      <c r="BD752" s="58"/>
      <c r="BE752" s="59"/>
    </row>
    <row r="753" spans="56:57" x14ac:dyDescent="0.25">
      <c r="BD753" s="58"/>
      <c r="BE753" s="59"/>
    </row>
    <row r="754" spans="56:57" x14ac:dyDescent="0.25">
      <c r="BD754" s="58"/>
      <c r="BE754" s="59"/>
    </row>
    <row r="755" spans="56:57" x14ac:dyDescent="0.25">
      <c r="BD755" s="58"/>
      <c r="BE755" s="59"/>
    </row>
    <row r="756" spans="56:57" x14ac:dyDescent="0.25">
      <c r="BD756" s="58"/>
      <c r="BE756" s="59"/>
    </row>
    <row r="757" spans="56:57" x14ac:dyDescent="0.25">
      <c r="BD757" s="58"/>
      <c r="BE757" s="59"/>
    </row>
    <row r="758" spans="56:57" x14ac:dyDescent="0.25">
      <c r="BD758" s="58"/>
      <c r="BE758" s="59"/>
    </row>
    <row r="759" spans="56:57" x14ac:dyDescent="0.25">
      <c r="BD759" s="58"/>
      <c r="BE759" s="59"/>
    </row>
    <row r="760" spans="56:57" x14ac:dyDescent="0.25">
      <c r="BD760" s="58"/>
      <c r="BE760" s="59"/>
    </row>
    <row r="761" spans="56:57" x14ac:dyDescent="0.25">
      <c r="BD761" s="58"/>
      <c r="BE761" s="59"/>
    </row>
    <row r="762" spans="56:57" x14ac:dyDescent="0.25">
      <c r="BD762" s="58"/>
      <c r="BE762" s="59"/>
    </row>
    <row r="763" spans="56:57" x14ac:dyDescent="0.25">
      <c r="BD763" s="58"/>
      <c r="BE763" s="59"/>
    </row>
    <row r="764" spans="56:57" x14ac:dyDescent="0.25">
      <c r="BD764" s="58"/>
      <c r="BE764" s="59"/>
    </row>
    <row r="765" spans="56:57" x14ac:dyDescent="0.25">
      <c r="BD765" s="58"/>
      <c r="BE765" s="59"/>
    </row>
    <row r="766" spans="56:57" x14ac:dyDescent="0.25">
      <c r="BD766" s="58"/>
      <c r="BE766" s="59"/>
    </row>
    <row r="767" spans="56:57" x14ac:dyDescent="0.25">
      <c r="BD767" s="58"/>
      <c r="BE767" s="59"/>
    </row>
    <row r="768" spans="56:57" x14ac:dyDescent="0.25">
      <c r="BD768" s="58"/>
      <c r="BE768" s="59"/>
    </row>
    <row r="769" spans="56:57" x14ac:dyDescent="0.25">
      <c r="BD769" s="58"/>
      <c r="BE769" s="59"/>
    </row>
    <row r="770" spans="56:57" x14ac:dyDescent="0.25">
      <c r="BD770" s="58"/>
      <c r="BE770" s="59"/>
    </row>
    <row r="771" spans="56:57" x14ac:dyDescent="0.25">
      <c r="BD771" s="58"/>
      <c r="BE771" s="59"/>
    </row>
    <row r="772" spans="56:57" x14ac:dyDescent="0.25">
      <c r="BD772" s="58"/>
      <c r="BE772" s="59"/>
    </row>
    <row r="773" spans="56:57" x14ac:dyDescent="0.25">
      <c r="BD773" s="58"/>
      <c r="BE773" s="59"/>
    </row>
    <row r="774" spans="56:57" x14ac:dyDescent="0.25">
      <c r="BD774" s="58"/>
      <c r="BE774" s="59"/>
    </row>
    <row r="775" spans="56:57" x14ac:dyDescent="0.25">
      <c r="BD775" s="58"/>
      <c r="BE775" s="59"/>
    </row>
    <row r="776" spans="56:57" x14ac:dyDescent="0.25">
      <c r="BD776" s="58"/>
      <c r="BE776" s="59"/>
    </row>
    <row r="777" spans="56:57" x14ac:dyDescent="0.25">
      <c r="BD777" s="58"/>
      <c r="BE777" s="59"/>
    </row>
    <row r="778" spans="56:57" x14ac:dyDescent="0.25">
      <c r="BD778" s="58"/>
      <c r="BE778" s="59"/>
    </row>
    <row r="779" spans="56:57" x14ac:dyDescent="0.25">
      <c r="BD779" s="58"/>
      <c r="BE779" s="59"/>
    </row>
    <row r="780" spans="56:57" x14ac:dyDescent="0.25">
      <c r="BD780" s="58"/>
      <c r="BE780" s="59"/>
    </row>
    <row r="781" spans="56:57" x14ac:dyDescent="0.25">
      <c r="BD781" s="58"/>
      <c r="BE781" s="59"/>
    </row>
    <row r="782" spans="56:57" x14ac:dyDescent="0.25">
      <c r="BD782" s="58"/>
      <c r="BE782" s="59"/>
    </row>
    <row r="783" spans="56:57" x14ac:dyDescent="0.25">
      <c r="BD783" s="58"/>
      <c r="BE783" s="59"/>
    </row>
    <row r="784" spans="56:57" x14ac:dyDescent="0.25">
      <c r="BD784" s="58"/>
      <c r="BE784" s="59"/>
    </row>
    <row r="785" spans="56:57" x14ac:dyDescent="0.25">
      <c r="BD785" s="58"/>
      <c r="BE785" s="59"/>
    </row>
    <row r="786" spans="56:57" x14ac:dyDescent="0.25">
      <c r="BD786" s="58"/>
      <c r="BE786" s="59"/>
    </row>
    <row r="787" spans="56:57" x14ac:dyDescent="0.25">
      <c r="BD787" s="58"/>
      <c r="BE787" s="59"/>
    </row>
    <row r="788" spans="56:57" x14ac:dyDescent="0.25">
      <c r="BD788" s="58"/>
      <c r="BE788" s="59"/>
    </row>
    <row r="789" spans="56:57" x14ac:dyDescent="0.25">
      <c r="BD789" s="58"/>
      <c r="BE789" s="59"/>
    </row>
    <row r="790" spans="56:57" x14ac:dyDescent="0.25">
      <c r="BD790" s="58"/>
      <c r="BE790" s="59"/>
    </row>
    <row r="791" spans="56:57" x14ac:dyDescent="0.25">
      <c r="BD791" s="58"/>
      <c r="BE791" s="59"/>
    </row>
    <row r="792" spans="56:57" x14ac:dyDescent="0.25">
      <c r="BD792" s="58"/>
      <c r="BE792" s="59"/>
    </row>
    <row r="793" spans="56:57" x14ac:dyDescent="0.25">
      <c r="BD793" s="58"/>
      <c r="BE793" s="59"/>
    </row>
    <row r="794" spans="56:57" x14ac:dyDescent="0.25">
      <c r="BD794" s="58"/>
      <c r="BE794" s="59"/>
    </row>
    <row r="795" spans="56:57" x14ac:dyDescent="0.25">
      <c r="BD795" s="58"/>
      <c r="BE795" s="59"/>
    </row>
    <row r="796" spans="56:57" x14ac:dyDescent="0.25">
      <c r="BD796" s="58"/>
      <c r="BE796" s="59"/>
    </row>
    <row r="797" spans="56:57" x14ac:dyDescent="0.25">
      <c r="BD797" s="58"/>
      <c r="BE797" s="59"/>
    </row>
    <row r="798" spans="56:57" x14ac:dyDescent="0.25">
      <c r="BD798" s="58"/>
      <c r="BE798" s="59"/>
    </row>
    <row r="799" spans="56:57" x14ac:dyDescent="0.25">
      <c r="BD799" s="58"/>
      <c r="BE799" s="59"/>
    </row>
    <row r="800" spans="56:57" x14ac:dyDescent="0.25">
      <c r="BD800" s="58"/>
      <c r="BE800" s="59"/>
    </row>
    <row r="801" spans="56:57" x14ac:dyDescent="0.25">
      <c r="BD801" s="58"/>
      <c r="BE801" s="59"/>
    </row>
    <row r="802" spans="56:57" x14ac:dyDescent="0.25">
      <c r="BD802" s="58"/>
      <c r="BE802" s="59"/>
    </row>
    <row r="803" spans="56:57" x14ac:dyDescent="0.25">
      <c r="BD803" s="58"/>
      <c r="BE803" s="59"/>
    </row>
    <row r="804" spans="56:57" x14ac:dyDescent="0.25">
      <c r="BD804" s="58"/>
      <c r="BE804" s="59"/>
    </row>
    <row r="805" spans="56:57" x14ac:dyDescent="0.25">
      <c r="BD805" s="58"/>
      <c r="BE805" s="59"/>
    </row>
    <row r="806" spans="56:57" x14ac:dyDescent="0.25">
      <c r="BD806" s="58"/>
      <c r="BE806" s="59"/>
    </row>
    <row r="807" spans="56:57" x14ac:dyDescent="0.25">
      <c r="BD807" s="58"/>
      <c r="BE807" s="59"/>
    </row>
    <row r="808" spans="56:57" x14ac:dyDescent="0.25">
      <c r="BD808" s="58"/>
      <c r="BE808" s="59"/>
    </row>
    <row r="809" spans="56:57" x14ac:dyDescent="0.25">
      <c r="BD809" s="58"/>
      <c r="BE809" s="59"/>
    </row>
    <row r="810" spans="56:57" x14ac:dyDescent="0.25">
      <c r="BD810" s="58"/>
      <c r="BE810" s="59"/>
    </row>
    <row r="811" spans="56:57" x14ac:dyDescent="0.25">
      <c r="BD811" s="58"/>
      <c r="BE811" s="59"/>
    </row>
    <row r="812" spans="56:57" x14ac:dyDescent="0.25">
      <c r="BD812" s="58"/>
      <c r="BE812" s="59"/>
    </row>
    <row r="813" spans="56:57" x14ac:dyDescent="0.25">
      <c r="BD813" s="58"/>
      <c r="BE813" s="59"/>
    </row>
    <row r="814" spans="56:57" x14ac:dyDescent="0.25">
      <c r="BD814" s="58"/>
      <c r="BE814" s="59"/>
    </row>
    <row r="815" spans="56:57" x14ac:dyDescent="0.25">
      <c r="BD815" s="58"/>
      <c r="BE815" s="59"/>
    </row>
    <row r="816" spans="56:57" x14ac:dyDescent="0.25">
      <c r="BD816" s="58"/>
      <c r="BE816" s="59"/>
    </row>
    <row r="817" spans="56:57" x14ac:dyDescent="0.25">
      <c r="BD817" s="58"/>
      <c r="BE817" s="59"/>
    </row>
    <row r="818" spans="56:57" x14ac:dyDescent="0.25">
      <c r="BD818" s="58"/>
      <c r="BE818" s="59"/>
    </row>
    <row r="819" spans="56:57" x14ac:dyDescent="0.25">
      <c r="BD819" s="58"/>
      <c r="BE819" s="59"/>
    </row>
    <row r="820" spans="56:57" x14ac:dyDescent="0.25">
      <c r="BD820" s="58"/>
      <c r="BE820" s="59"/>
    </row>
    <row r="821" spans="56:57" x14ac:dyDescent="0.25">
      <c r="BD821" s="58"/>
      <c r="BE821" s="59"/>
    </row>
    <row r="822" spans="56:57" x14ac:dyDescent="0.25">
      <c r="BD822" s="58"/>
      <c r="BE822" s="59"/>
    </row>
    <row r="823" spans="56:57" x14ac:dyDescent="0.25">
      <c r="BD823" s="58"/>
      <c r="BE823" s="59"/>
    </row>
    <row r="824" spans="56:57" x14ac:dyDescent="0.25">
      <c r="BD824" s="58"/>
      <c r="BE824" s="59"/>
    </row>
    <row r="825" spans="56:57" x14ac:dyDescent="0.25">
      <c r="BD825" s="58"/>
      <c r="BE825" s="59"/>
    </row>
    <row r="826" spans="56:57" x14ac:dyDescent="0.25">
      <c r="BD826" s="58"/>
      <c r="BE826" s="59"/>
    </row>
    <row r="827" spans="56:57" x14ac:dyDescent="0.25">
      <c r="BD827" s="58"/>
      <c r="BE827" s="59"/>
    </row>
    <row r="828" spans="56:57" x14ac:dyDescent="0.25">
      <c r="BD828" s="58"/>
      <c r="BE828" s="59"/>
    </row>
    <row r="829" spans="56:57" x14ac:dyDescent="0.25">
      <c r="BD829" s="58"/>
      <c r="BE829" s="59"/>
    </row>
    <row r="830" spans="56:57" x14ac:dyDescent="0.25">
      <c r="BD830" s="58"/>
      <c r="BE830" s="59"/>
    </row>
    <row r="831" spans="56:57" x14ac:dyDescent="0.25">
      <c r="BD831" s="58"/>
      <c r="BE831" s="59"/>
    </row>
    <row r="832" spans="56:57" x14ac:dyDescent="0.25">
      <c r="BD832" s="58"/>
      <c r="BE832" s="59"/>
    </row>
    <row r="833" spans="56:57" x14ac:dyDescent="0.25">
      <c r="BD833" s="58"/>
      <c r="BE833" s="59"/>
    </row>
    <row r="834" spans="56:57" x14ac:dyDescent="0.25">
      <c r="BD834" s="58"/>
      <c r="BE834" s="59"/>
    </row>
    <row r="835" spans="56:57" x14ac:dyDescent="0.25">
      <c r="BD835" s="58"/>
      <c r="BE835" s="59"/>
    </row>
    <row r="836" spans="56:57" x14ac:dyDescent="0.25">
      <c r="BD836" s="58"/>
      <c r="BE836" s="59"/>
    </row>
    <row r="837" spans="56:57" x14ac:dyDescent="0.25">
      <c r="BD837" s="58"/>
      <c r="BE837" s="59"/>
    </row>
    <row r="838" spans="56:57" x14ac:dyDescent="0.25">
      <c r="BD838" s="58"/>
      <c r="BE838" s="59"/>
    </row>
    <row r="839" spans="56:57" x14ac:dyDescent="0.25">
      <c r="BD839" s="58"/>
      <c r="BE839" s="59"/>
    </row>
    <row r="840" spans="56:57" x14ac:dyDescent="0.25">
      <c r="BD840" s="58"/>
      <c r="BE840" s="59"/>
    </row>
    <row r="841" spans="56:57" x14ac:dyDescent="0.25">
      <c r="BD841" s="58"/>
      <c r="BE841" s="59"/>
    </row>
    <row r="842" spans="56:57" x14ac:dyDescent="0.25">
      <c r="BD842" s="58"/>
      <c r="BE842" s="59"/>
    </row>
    <row r="843" spans="56:57" x14ac:dyDescent="0.25">
      <c r="BD843" s="58"/>
      <c r="BE843" s="59"/>
    </row>
    <row r="844" spans="56:57" x14ac:dyDescent="0.25">
      <c r="BD844" s="58"/>
      <c r="BE844" s="59"/>
    </row>
    <row r="845" spans="56:57" x14ac:dyDescent="0.25">
      <c r="BD845" s="58"/>
      <c r="BE845" s="59"/>
    </row>
    <row r="846" spans="56:57" x14ac:dyDescent="0.25">
      <c r="BD846" s="58"/>
      <c r="BE846" s="59"/>
    </row>
    <row r="847" spans="56:57" x14ac:dyDescent="0.25">
      <c r="BD847" s="58"/>
      <c r="BE847" s="59"/>
    </row>
    <row r="848" spans="56:57" x14ac:dyDescent="0.25">
      <c r="BD848" s="58"/>
      <c r="BE848" s="59"/>
    </row>
    <row r="849" spans="56:57" x14ac:dyDescent="0.25">
      <c r="BD849" s="58"/>
      <c r="BE849" s="59"/>
    </row>
    <row r="850" spans="56:57" x14ac:dyDescent="0.25">
      <c r="BD850" s="58"/>
      <c r="BE850" s="59"/>
    </row>
    <row r="851" spans="56:57" x14ac:dyDescent="0.25">
      <c r="BD851" s="58"/>
      <c r="BE851" s="59"/>
    </row>
    <row r="852" spans="56:57" x14ac:dyDescent="0.25">
      <c r="BD852" s="58"/>
      <c r="BE852" s="59"/>
    </row>
    <row r="853" spans="56:57" x14ac:dyDescent="0.25">
      <c r="BD853" s="58"/>
      <c r="BE853" s="59"/>
    </row>
    <row r="854" spans="56:57" x14ac:dyDescent="0.25">
      <c r="BD854" s="58"/>
      <c r="BE854" s="59"/>
    </row>
    <row r="855" spans="56:57" x14ac:dyDescent="0.25">
      <c r="BD855" s="58"/>
      <c r="BE855" s="59"/>
    </row>
    <row r="856" spans="56:57" x14ac:dyDescent="0.25">
      <c r="BD856" s="58"/>
      <c r="BE856" s="59"/>
    </row>
    <row r="857" spans="56:57" x14ac:dyDescent="0.25">
      <c r="BD857" s="58"/>
      <c r="BE857" s="59"/>
    </row>
    <row r="858" spans="56:57" x14ac:dyDescent="0.25">
      <c r="BD858" s="58"/>
      <c r="BE858" s="59"/>
    </row>
    <row r="859" spans="56:57" x14ac:dyDescent="0.25">
      <c r="BD859" s="58"/>
      <c r="BE859" s="59"/>
    </row>
    <row r="860" spans="56:57" x14ac:dyDescent="0.25">
      <c r="BD860" s="58"/>
      <c r="BE860" s="59"/>
    </row>
    <row r="861" spans="56:57" x14ac:dyDescent="0.25">
      <c r="BD861" s="58"/>
      <c r="BE861" s="59"/>
    </row>
    <row r="862" spans="56:57" x14ac:dyDescent="0.25">
      <c r="BD862" s="58"/>
      <c r="BE862" s="59"/>
    </row>
    <row r="863" spans="56:57" x14ac:dyDescent="0.25">
      <c r="BD863" s="58"/>
      <c r="BE863" s="59"/>
    </row>
    <row r="864" spans="56:57" x14ac:dyDescent="0.25">
      <c r="BD864" s="58"/>
      <c r="BE864" s="59"/>
    </row>
    <row r="865" spans="56:57" x14ac:dyDescent="0.25">
      <c r="BD865" s="58"/>
      <c r="BE865" s="59"/>
    </row>
    <row r="866" spans="56:57" x14ac:dyDescent="0.25">
      <c r="BD866" s="58"/>
      <c r="BE866" s="59"/>
    </row>
    <row r="867" spans="56:57" x14ac:dyDescent="0.25">
      <c r="BD867" s="58"/>
      <c r="BE867" s="59"/>
    </row>
    <row r="868" spans="56:57" x14ac:dyDescent="0.25">
      <c r="BD868" s="58"/>
      <c r="BE868" s="59"/>
    </row>
    <row r="869" spans="56:57" x14ac:dyDescent="0.25">
      <c r="BD869" s="58"/>
      <c r="BE869" s="59"/>
    </row>
    <row r="870" spans="56:57" x14ac:dyDescent="0.25">
      <c r="BD870" s="58"/>
      <c r="BE870" s="59"/>
    </row>
    <row r="871" spans="56:57" x14ac:dyDescent="0.25">
      <c r="BD871" s="58"/>
      <c r="BE871" s="59"/>
    </row>
    <row r="872" spans="56:57" x14ac:dyDescent="0.25">
      <c r="BD872" s="58"/>
      <c r="BE872" s="59"/>
    </row>
    <row r="873" spans="56:57" x14ac:dyDescent="0.25">
      <c r="BD873" s="58"/>
      <c r="BE873" s="59"/>
    </row>
    <row r="874" spans="56:57" x14ac:dyDescent="0.25">
      <c r="BD874" s="58"/>
      <c r="BE874" s="59"/>
    </row>
    <row r="875" spans="56:57" x14ac:dyDescent="0.25">
      <c r="BD875" s="58"/>
      <c r="BE875" s="59"/>
    </row>
    <row r="876" spans="56:57" x14ac:dyDescent="0.25">
      <c r="BD876" s="58"/>
      <c r="BE876" s="59"/>
    </row>
    <row r="877" spans="56:57" x14ac:dyDescent="0.25">
      <c r="BD877" s="58"/>
      <c r="BE877" s="59"/>
    </row>
    <row r="878" spans="56:57" x14ac:dyDescent="0.25">
      <c r="BD878" s="58"/>
      <c r="BE878" s="59"/>
    </row>
    <row r="879" spans="56:57" x14ac:dyDescent="0.25">
      <c r="BD879" s="58"/>
      <c r="BE879" s="59"/>
    </row>
    <row r="880" spans="56:57" x14ac:dyDescent="0.25">
      <c r="BD880" s="58"/>
      <c r="BE880" s="59"/>
    </row>
    <row r="881" spans="56:57" x14ac:dyDescent="0.25">
      <c r="BD881" s="58"/>
      <c r="BE881" s="59"/>
    </row>
    <row r="882" spans="56:57" x14ac:dyDescent="0.25">
      <c r="BD882" s="58"/>
      <c r="BE882" s="59"/>
    </row>
    <row r="883" spans="56:57" x14ac:dyDescent="0.25">
      <c r="BD883" s="58"/>
      <c r="BE883" s="59"/>
    </row>
    <row r="884" spans="56:57" x14ac:dyDescent="0.25">
      <c r="BD884" s="58"/>
      <c r="BE884" s="59"/>
    </row>
    <row r="885" spans="56:57" x14ac:dyDescent="0.25">
      <c r="BD885" s="58"/>
      <c r="BE885" s="59"/>
    </row>
    <row r="886" spans="56:57" x14ac:dyDescent="0.25">
      <c r="BD886" s="58"/>
      <c r="BE886" s="59"/>
    </row>
    <row r="887" spans="56:57" x14ac:dyDescent="0.25">
      <c r="BD887" s="58"/>
      <c r="BE887" s="59"/>
    </row>
    <row r="888" spans="56:57" x14ac:dyDescent="0.25">
      <c r="BD888" s="58"/>
      <c r="BE888" s="59"/>
    </row>
    <row r="889" spans="56:57" x14ac:dyDescent="0.25">
      <c r="BD889" s="58"/>
      <c r="BE889" s="59"/>
    </row>
    <row r="890" spans="56:57" x14ac:dyDescent="0.25">
      <c r="BD890" s="58"/>
      <c r="BE890" s="59"/>
    </row>
    <row r="891" spans="56:57" x14ac:dyDescent="0.25">
      <c r="BD891" s="58"/>
      <c r="BE891" s="59"/>
    </row>
    <row r="892" spans="56:57" x14ac:dyDescent="0.25">
      <c r="BD892" s="58"/>
      <c r="BE892" s="59"/>
    </row>
    <row r="893" spans="56:57" x14ac:dyDescent="0.25">
      <c r="BD893" s="58"/>
      <c r="BE893" s="59"/>
    </row>
    <row r="894" spans="56:57" x14ac:dyDescent="0.25">
      <c r="BD894" s="58"/>
      <c r="BE894" s="59"/>
    </row>
    <row r="895" spans="56:57" x14ac:dyDescent="0.25">
      <c r="BD895" s="58"/>
      <c r="BE895" s="59"/>
    </row>
    <row r="896" spans="56:57" x14ac:dyDescent="0.25">
      <c r="BD896" s="58"/>
      <c r="BE896" s="59"/>
    </row>
    <row r="897" spans="56:57" x14ac:dyDescent="0.25">
      <c r="BD897" s="58"/>
      <c r="BE897" s="59"/>
    </row>
    <row r="898" spans="56:57" x14ac:dyDescent="0.25">
      <c r="BD898" s="58"/>
      <c r="BE898" s="59"/>
    </row>
    <row r="899" spans="56:57" x14ac:dyDescent="0.25">
      <c r="BD899" s="58"/>
      <c r="BE899" s="59"/>
    </row>
    <row r="900" spans="56:57" x14ac:dyDescent="0.25">
      <c r="BD900" s="58"/>
      <c r="BE900" s="59"/>
    </row>
    <row r="901" spans="56:57" x14ac:dyDescent="0.25">
      <c r="BD901" s="58"/>
      <c r="BE901" s="59"/>
    </row>
    <row r="902" spans="56:57" x14ac:dyDescent="0.25">
      <c r="BD902" s="58"/>
      <c r="BE902" s="59"/>
    </row>
    <row r="903" spans="56:57" x14ac:dyDescent="0.25">
      <c r="BD903" s="58"/>
      <c r="BE903" s="59"/>
    </row>
    <row r="904" spans="56:57" x14ac:dyDescent="0.25">
      <c r="BD904" s="58"/>
      <c r="BE904" s="59"/>
    </row>
    <row r="905" spans="56:57" x14ac:dyDescent="0.25">
      <c r="BD905" s="58"/>
      <c r="BE905" s="59"/>
    </row>
    <row r="906" spans="56:57" x14ac:dyDescent="0.25">
      <c r="BD906" s="58"/>
      <c r="BE906" s="59"/>
    </row>
    <row r="907" spans="56:57" x14ac:dyDescent="0.25">
      <c r="BD907" s="58"/>
      <c r="BE907" s="59"/>
    </row>
    <row r="908" spans="56:57" x14ac:dyDescent="0.25">
      <c r="BD908" s="58"/>
      <c r="BE908" s="59"/>
    </row>
    <row r="909" spans="56:57" x14ac:dyDescent="0.25">
      <c r="BD909" s="58"/>
      <c r="BE909" s="59"/>
    </row>
    <row r="910" spans="56:57" x14ac:dyDescent="0.25">
      <c r="BD910" s="58"/>
      <c r="BE910" s="59"/>
    </row>
    <row r="911" spans="56:57" x14ac:dyDescent="0.25">
      <c r="BD911" s="58"/>
      <c r="BE911" s="59"/>
    </row>
    <row r="912" spans="56:57" x14ac:dyDescent="0.25">
      <c r="BD912" s="58"/>
      <c r="BE912" s="59"/>
    </row>
    <row r="913" spans="56:57" x14ac:dyDescent="0.25">
      <c r="BD913" s="58"/>
      <c r="BE913" s="59"/>
    </row>
    <row r="914" spans="56:57" x14ac:dyDescent="0.25">
      <c r="BD914" s="58"/>
      <c r="BE914" s="59"/>
    </row>
    <row r="915" spans="56:57" x14ac:dyDescent="0.25">
      <c r="BD915" s="58"/>
      <c r="BE915" s="59"/>
    </row>
    <row r="916" spans="56:57" x14ac:dyDescent="0.25">
      <c r="BD916" s="58"/>
      <c r="BE916" s="59"/>
    </row>
    <row r="917" spans="56:57" x14ac:dyDescent="0.25">
      <c r="BD917" s="58"/>
      <c r="BE917" s="59"/>
    </row>
    <row r="918" spans="56:57" x14ac:dyDescent="0.25">
      <c r="BD918" s="58"/>
      <c r="BE918" s="59"/>
    </row>
    <row r="919" spans="56:57" x14ac:dyDescent="0.25">
      <c r="BD919" s="58"/>
      <c r="BE919" s="59"/>
    </row>
    <row r="920" spans="56:57" x14ac:dyDescent="0.25">
      <c r="BD920" s="58"/>
      <c r="BE920" s="59"/>
    </row>
    <row r="921" spans="56:57" x14ac:dyDescent="0.25">
      <c r="BD921" s="58"/>
      <c r="BE921" s="59"/>
    </row>
    <row r="922" spans="56:57" x14ac:dyDescent="0.25">
      <c r="BD922" s="58"/>
      <c r="BE922" s="59"/>
    </row>
    <row r="923" spans="56:57" x14ac:dyDescent="0.25">
      <c r="BD923" s="58"/>
      <c r="BE923" s="59"/>
    </row>
    <row r="924" spans="56:57" x14ac:dyDescent="0.25">
      <c r="BD924" s="58"/>
      <c r="BE924" s="59"/>
    </row>
    <row r="925" spans="56:57" x14ac:dyDescent="0.25">
      <c r="BD925" s="58"/>
      <c r="BE925" s="59"/>
    </row>
    <row r="926" spans="56:57" x14ac:dyDescent="0.25">
      <c r="BD926" s="58"/>
      <c r="BE926" s="59"/>
    </row>
    <row r="927" spans="56:57" x14ac:dyDescent="0.25">
      <c r="BD927" s="58"/>
      <c r="BE927" s="59"/>
    </row>
    <row r="928" spans="56:57" x14ac:dyDescent="0.25">
      <c r="BD928" s="58"/>
      <c r="BE928" s="59"/>
    </row>
    <row r="929" spans="56:57" x14ac:dyDescent="0.25">
      <c r="BD929" s="58"/>
      <c r="BE929" s="59"/>
    </row>
    <row r="930" spans="56:57" x14ac:dyDescent="0.25">
      <c r="BD930" s="58"/>
      <c r="BE930" s="59"/>
    </row>
    <row r="931" spans="56:57" x14ac:dyDescent="0.25">
      <c r="BD931" s="58"/>
      <c r="BE931" s="59"/>
    </row>
    <row r="932" spans="56:57" x14ac:dyDescent="0.25">
      <c r="BD932" s="58"/>
      <c r="BE932" s="59"/>
    </row>
    <row r="933" spans="56:57" x14ac:dyDescent="0.25">
      <c r="BD933" s="58"/>
      <c r="BE933" s="59"/>
    </row>
    <row r="934" spans="56:57" x14ac:dyDescent="0.25">
      <c r="BD934" s="58"/>
      <c r="BE934" s="59"/>
    </row>
    <row r="935" spans="56:57" x14ac:dyDescent="0.25">
      <c r="BD935" s="58"/>
      <c r="BE935" s="59"/>
    </row>
    <row r="936" spans="56:57" x14ac:dyDescent="0.25">
      <c r="BD936" s="58"/>
      <c r="BE936" s="59"/>
    </row>
    <row r="937" spans="56:57" x14ac:dyDescent="0.25">
      <c r="BD937" s="58"/>
      <c r="BE937" s="59"/>
    </row>
    <row r="938" spans="56:57" x14ac:dyDescent="0.25">
      <c r="BD938" s="58"/>
      <c r="BE938" s="59"/>
    </row>
    <row r="939" spans="56:57" x14ac:dyDescent="0.25">
      <c r="BD939" s="58"/>
      <c r="BE939" s="59"/>
    </row>
    <row r="940" spans="56:57" x14ac:dyDescent="0.25">
      <c r="BD940" s="58"/>
      <c r="BE940" s="59"/>
    </row>
    <row r="941" spans="56:57" x14ac:dyDescent="0.25">
      <c r="BD941" s="58"/>
      <c r="BE941" s="59"/>
    </row>
    <row r="942" spans="56:57" x14ac:dyDescent="0.25">
      <c r="BD942" s="58"/>
      <c r="BE942" s="59"/>
    </row>
    <row r="943" spans="56:57" x14ac:dyDescent="0.25">
      <c r="BD943" s="58"/>
      <c r="BE943" s="59"/>
    </row>
    <row r="944" spans="56:57" x14ac:dyDescent="0.25">
      <c r="BD944" s="58"/>
      <c r="BE944" s="59"/>
    </row>
    <row r="945" spans="56:57" x14ac:dyDescent="0.25">
      <c r="BD945" s="58"/>
      <c r="BE945" s="59"/>
    </row>
    <row r="946" spans="56:57" x14ac:dyDescent="0.25">
      <c r="BD946" s="58"/>
      <c r="BE946" s="59"/>
    </row>
    <row r="947" spans="56:57" x14ac:dyDescent="0.25">
      <c r="BD947" s="58"/>
      <c r="BE947" s="59"/>
    </row>
    <row r="948" spans="56:57" x14ac:dyDescent="0.25">
      <c r="BD948" s="58"/>
      <c r="BE948" s="59"/>
    </row>
    <row r="949" spans="56:57" x14ac:dyDescent="0.25">
      <c r="BD949" s="58"/>
      <c r="BE949" s="59"/>
    </row>
    <row r="950" spans="56:57" x14ac:dyDescent="0.25">
      <c r="BD950" s="58"/>
      <c r="BE950" s="59"/>
    </row>
    <row r="951" spans="56:57" x14ac:dyDescent="0.25">
      <c r="BD951" s="58"/>
      <c r="BE951" s="59"/>
    </row>
    <row r="952" spans="56:57" x14ac:dyDescent="0.25">
      <c r="BD952" s="58"/>
      <c r="BE952" s="59"/>
    </row>
    <row r="953" spans="56:57" x14ac:dyDescent="0.25">
      <c r="BD953" s="58"/>
      <c r="BE953" s="59"/>
    </row>
    <row r="954" spans="56:57" x14ac:dyDescent="0.25">
      <c r="BD954" s="58"/>
      <c r="BE954" s="59"/>
    </row>
    <row r="955" spans="56:57" x14ac:dyDescent="0.25">
      <c r="BD955" s="58"/>
      <c r="BE955" s="59"/>
    </row>
    <row r="956" spans="56:57" x14ac:dyDescent="0.25">
      <c r="BD956" s="58"/>
      <c r="BE956" s="59"/>
    </row>
    <row r="957" spans="56:57" x14ac:dyDescent="0.25">
      <c r="BD957" s="58"/>
      <c r="BE957" s="59"/>
    </row>
    <row r="958" spans="56:57" x14ac:dyDescent="0.25">
      <c r="BD958" s="58"/>
      <c r="BE958" s="59"/>
    </row>
    <row r="959" spans="56:57" x14ac:dyDescent="0.25">
      <c r="BD959" s="58"/>
      <c r="BE959" s="59"/>
    </row>
    <row r="960" spans="56:57" x14ac:dyDescent="0.25">
      <c r="BD960" s="58"/>
      <c r="BE960" s="59"/>
    </row>
    <row r="961" spans="56:57" x14ac:dyDescent="0.25">
      <c r="BD961" s="58"/>
      <c r="BE961" s="59"/>
    </row>
    <row r="962" spans="56:57" x14ac:dyDescent="0.25">
      <c r="BD962" s="58"/>
      <c r="BE962" s="59"/>
    </row>
    <row r="963" spans="56:57" x14ac:dyDescent="0.25">
      <c r="BD963" s="58"/>
      <c r="BE963" s="59"/>
    </row>
    <row r="964" spans="56:57" x14ac:dyDescent="0.25">
      <c r="BD964" s="58"/>
      <c r="BE964" s="59"/>
    </row>
    <row r="965" spans="56:57" x14ac:dyDescent="0.25">
      <c r="BD965" s="58"/>
      <c r="BE965" s="59"/>
    </row>
    <row r="966" spans="56:57" x14ac:dyDescent="0.25">
      <c r="BD966" s="58"/>
      <c r="BE966" s="59"/>
    </row>
    <row r="967" spans="56:57" x14ac:dyDescent="0.25">
      <c r="BD967" s="58"/>
      <c r="BE967" s="59"/>
    </row>
    <row r="968" spans="56:57" x14ac:dyDescent="0.25">
      <c r="BD968" s="58"/>
      <c r="BE968" s="59"/>
    </row>
    <row r="969" spans="56:57" x14ac:dyDescent="0.25">
      <c r="BD969" s="58"/>
      <c r="BE969" s="59"/>
    </row>
    <row r="970" spans="56:57" x14ac:dyDescent="0.25">
      <c r="BD970" s="58"/>
      <c r="BE970" s="59"/>
    </row>
    <row r="971" spans="56:57" x14ac:dyDescent="0.25">
      <c r="BD971" s="58"/>
      <c r="BE971" s="59"/>
    </row>
    <row r="972" spans="56:57" x14ac:dyDescent="0.25">
      <c r="BD972" s="58"/>
      <c r="BE972" s="59"/>
    </row>
    <row r="973" spans="56:57" x14ac:dyDescent="0.25">
      <c r="BD973" s="58"/>
      <c r="BE973" s="59"/>
    </row>
    <row r="974" spans="56:57" x14ac:dyDescent="0.25">
      <c r="BD974" s="58"/>
      <c r="BE974" s="59"/>
    </row>
    <row r="975" spans="56:57" x14ac:dyDescent="0.25">
      <c r="BD975" s="58"/>
      <c r="BE975" s="59"/>
    </row>
    <row r="976" spans="56:57" x14ac:dyDescent="0.25">
      <c r="BD976" s="58"/>
      <c r="BE976" s="59"/>
    </row>
    <row r="977" spans="56:57" x14ac:dyDescent="0.25">
      <c r="BD977" s="58"/>
      <c r="BE977" s="59"/>
    </row>
    <row r="978" spans="56:57" x14ac:dyDescent="0.25">
      <c r="BD978" s="58"/>
      <c r="BE978" s="59"/>
    </row>
    <row r="979" spans="56:57" x14ac:dyDescent="0.25">
      <c r="BD979" s="58"/>
      <c r="BE979" s="59"/>
    </row>
    <row r="980" spans="56:57" x14ac:dyDescent="0.25">
      <c r="BD980" s="58"/>
      <c r="BE980" s="59"/>
    </row>
    <row r="981" spans="56:57" x14ac:dyDescent="0.25">
      <c r="BD981" s="58"/>
      <c r="BE981" s="59"/>
    </row>
    <row r="982" spans="56:57" x14ac:dyDescent="0.25">
      <c r="BD982" s="58"/>
      <c r="BE982" s="59"/>
    </row>
    <row r="983" spans="56:57" x14ac:dyDescent="0.25">
      <c r="BD983" s="58"/>
      <c r="BE983" s="59"/>
    </row>
    <row r="984" spans="56:57" x14ac:dyDescent="0.25">
      <c r="BD984" s="58"/>
      <c r="BE984" s="59"/>
    </row>
    <row r="985" spans="56:57" x14ac:dyDescent="0.25">
      <c r="BD985" s="58"/>
      <c r="BE985" s="59"/>
    </row>
    <row r="986" spans="56:57" x14ac:dyDescent="0.25">
      <c r="BD986" s="58"/>
      <c r="BE986" s="59"/>
    </row>
    <row r="987" spans="56:57" x14ac:dyDescent="0.25">
      <c r="BD987" s="58"/>
      <c r="BE987" s="59"/>
    </row>
    <row r="988" spans="56:57" x14ac:dyDescent="0.25">
      <c r="BD988" s="58"/>
      <c r="BE988" s="59"/>
    </row>
    <row r="989" spans="56:57" x14ac:dyDescent="0.25">
      <c r="BD989" s="58"/>
      <c r="BE989" s="59"/>
    </row>
    <row r="990" spans="56:57" x14ac:dyDescent="0.25">
      <c r="BD990" s="58"/>
      <c r="BE990" s="59"/>
    </row>
    <row r="991" spans="56:57" x14ac:dyDescent="0.25">
      <c r="BD991" s="58"/>
      <c r="BE991" s="59"/>
    </row>
    <row r="992" spans="56:57" x14ac:dyDescent="0.25">
      <c r="BD992" s="58"/>
      <c r="BE992" s="59"/>
    </row>
    <row r="993" spans="56:57" x14ac:dyDescent="0.25">
      <c r="BD993" s="58"/>
      <c r="BE993" s="59"/>
    </row>
    <row r="994" spans="56:57" x14ac:dyDescent="0.25">
      <c r="BD994" s="58"/>
      <c r="BE994" s="59"/>
    </row>
    <row r="995" spans="56:57" x14ac:dyDescent="0.25">
      <c r="BD995" s="58"/>
      <c r="BE995" s="59"/>
    </row>
    <row r="996" spans="56:57" x14ac:dyDescent="0.25">
      <c r="BD996" s="58"/>
      <c r="BE996" s="59"/>
    </row>
    <row r="997" spans="56:57" x14ac:dyDescent="0.25">
      <c r="BD997" s="58"/>
      <c r="BE997" s="59"/>
    </row>
    <row r="998" spans="56:57" x14ac:dyDescent="0.25">
      <c r="BD998" s="58"/>
      <c r="BE998" s="59"/>
    </row>
    <row r="999" spans="56:57" x14ac:dyDescent="0.25">
      <c r="BD999" s="58"/>
      <c r="BE999" s="59"/>
    </row>
    <row r="1000" spans="56:57" x14ac:dyDescent="0.25">
      <c r="BD1000" s="58"/>
      <c r="BE1000" s="59"/>
    </row>
    <row r="1001" spans="56:57" x14ac:dyDescent="0.25">
      <c r="BD1001" s="58"/>
      <c r="BE1001" s="59"/>
    </row>
    <row r="1002" spans="56:57" x14ac:dyDescent="0.25">
      <c r="BD1002" s="58"/>
      <c r="BE1002" s="59"/>
    </row>
    <row r="1003" spans="56:57" x14ac:dyDescent="0.25">
      <c r="BD1003" s="58"/>
      <c r="BE1003" s="59"/>
    </row>
    <row r="1004" spans="56:57" x14ac:dyDescent="0.25">
      <c r="BD1004" s="58"/>
      <c r="BE1004" s="59"/>
    </row>
    <row r="1005" spans="56:57" x14ac:dyDescent="0.25">
      <c r="BD1005" s="58"/>
      <c r="BE1005" s="59"/>
    </row>
    <row r="1006" spans="56:57" ht="13" thickBot="1" x14ac:dyDescent="0.3">
      <c r="BD1006" s="200"/>
      <c r="BE1006" s="201"/>
    </row>
  </sheetData>
  <sheetProtection algorithmName="SHA-512" hashValue="smj4ASDtdD3ptaLagvWs8wolvDW3Fqiao+gt4LZsIoF1gVqmEnISmVl6Snn4YEtVCDeksBVwV6nds6H5/cleNQ==" saltValue="qxU3PBKmaxbT6Kst/43/BQ==" spinCount="100000" sheet="1" objects="1" scenarios="1" selectLockedCells="1"/>
  <dataConsolidate/>
  <mergeCells count="108">
    <mergeCell ref="J1:O2"/>
    <mergeCell ref="U2:AB3"/>
    <mergeCell ref="D3:G3"/>
    <mergeCell ref="H3:J3"/>
    <mergeCell ref="D4:G4"/>
    <mergeCell ref="U4:AB4"/>
    <mergeCell ref="AA56:AB56"/>
    <mergeCell ref="D13:G13"/>
    <mergeCell ref="D14:G14"/>
    <mergeCell ref="D15:G15"/>
    <mergeCell ref="D16:G16"/>
    <mergeCell ref="L16:M16"/>
    <mergeCell ref="D17:G17"/>
    <mergeCell ref="L17:M17"/>
    <mergeCell ref="D5:G5"/>
    <mergeCell ref="D7:F7"/>
    <mergeCell ref="J8:P8"/>
    <mergeCell ref="W9:X9"/>
    <mergeCell ref="D11:G11"/>
    <mergeCell ref="D12:G12"/>
    <mergeCell ref="B58:O58"/>
    <mergeCell ref="B59:O59"/>
    <mergeCell ref="Q59:R59"/>
    <mergeCell ref="S59:T59"/>
    <mergeCell ref="U59:V59"/>
    <mergeCell ref="W59:X59"/>
    <mergeCell ref="L18:M18"/>
    <mergeCell ref="Q31:S31"/>
    <mergeCell ref="U31:W31"/>
    <mergeCell ref="H48:Q48"/>
    <mergeCell ref="H49:Q49"/>
    <mergeCell ref="Y59:Z59"/>
    <mergeCell ref="AA59:AB59"/>
    <mergeCell ref="B60:O60"/>
    <mergeCell ref="Q60:R60"/>
    <mergeCell ref="S60:T60"/>
    <mergeCell ref="U60:V60"/>
    <mergeCell ref="W60:X60"/>
    <mergeCell ref="Y60:Z60"/>
    <mergeCell ref="AA60:AB60"/>
    <mergeCell ref="AA61:AB61"/>
    <mergeCell ref="B62:O62"/>
    <mergeCell ref="Q62:R62"/>
    <mergeCell ref="S62:T62"/>
    <mergeCell ref="U62:V62"/>
    <mergeCell ref="W62:X62"/>
    <mergeCell ref="Y62:Z62"/>
    <mergeCell ref="AA62:AB62"/>
    <mergeCell ref="B61:O61"/>
    <mergeCell ref="Q61:R61"/>
    <mergeCell ref="S61:T61"/>
    <mergeCell ref="U61:V61"/>
    <mergeCell ref="W61:X61"/>
    <mergeCell ref="Y61:Z61"/>
    <mergeCell ref="AA63:AB63"/>
    <mergeCell ref="E64:O64"/>
    <mergeCell ref="Q64:R64"/>
    <mergeCell ref="S64:T64"/>
    <mergeCell ref="U64:V64"/>
    <mergeCell ref="W64:X64"/>
    <mergeCell ref="Y64:Z64"/>
    <mergeCell ref="AA64:AB64"/>
    <mergeCell ref="B63:O63"/>
    <mergeCell ref="Q63:R63"/>
    <mergeCell ref="S63:T63"/>
    <mergeCell ref="U63:V63"/>
    <mergeCell ref="W63:X63"/>
    <mergeCell ref="Y63:Z63"/>
    <mergeCell ref="AA65:AB65"/>
    <mergeCell ref="Q66:R66"/>
    <mergeCell ref="S66:T66"/>
    <mergeCell ref="U66:V66"/>
    <mergeCell ref="W66:X66"/>
    <mergeCell ref="Y66:Z66"/>
    <mergeCell ref="AA66:AB66"/>
    <mergeCell ref="E65:O65"/>
    <mergeCell ref="Q65:R65"/>
    <mergeCell ref="S65:T65"/>
    <mergeCell ref="U65:V65"/>
    <mergeCell ref="W65:X65"/>
    <mergeCell ref="Y65:Z65"/>
    <mergeCell ref="AA67:AB67"/>
    <mergeCell ref="B68:O68"/>
    <mergeCell ref="Q68:R68"/>
    <mergeCell ref="S68:T68"/>
    <mergeCell ref="U68:V68"/>
    <mergeCell ref="W68:X68"/>
    <mergeCell ref="Y68:Z68"/>
    <mergeCell ref="AA68:AB68"/>
    <mergeCell ref="B67:O67"/>
    <mergeCell ref="Q67:R67"/>
    <mergeCell ref="S67:T67"/>
    <mergeCell ref="U67:V67"/>
    <mergeCell ref="W67:X67"/>
    <mergeCell ref="Y67:Z67"/>
    <mergeCell ref="AA69:AB69"/>
    <mergeCell ref="Q70:R70"/>
    <mergeCell ref="S70:T70"/>
    <mergeCell ref="U70:V70"/>
    <mergeCell ref="W70:X70"/>
    <mergeCell ref="Y70:Z70"/>
    <mergeCell ref="AA70:AB70"/>
    <mergeCell ref="B69:O74"/>
    <mergeCell ref="Q69:R69"/>
    <mergeCell ref="S69:T69"/>
    <mergeCell ref="U69:V69"/>
    <mergeCell ref="W69:X69"/>
    <mergeCell ref="Y69:Z69"/>
  </mergeCells>
  <conditionalFormatting sqref="B5">
    <cfRule type="expression" dxfId="52" priority="43">
      <formula>$D$4="RIO TINTO IRON ORE"</formula>
    </cfRule>
  </conditionalFormatting>
  <conditionalFormatting sqref="B34:E44">
    <cfRule type="notContainsBlanks" dxfId="51" priority="52">
      <formula>LEN(TRIM(B34))&gt;0</formula>
    </cfRule>
  </conditionalFormatting>
  <conditionalFormatting sqref="C54:H54">
    <cfRule type="notContainsBlanks" dxfId="50" priority="56">
      <formula>LEN(TRIM(C54))&gt;0</formula>
    </cfRule>
  </conditionalFormatting>
  <conditionalFormatting sqref="D19:D20 D23:D29">
    <cfRule type="notContainsBlanks" dxfId="49" priority="17">
      <formula>LEN(TRIM(D19))&gt;0</formula>
    </cfRule>
  </conditionalFormatting>
  <conditionalFormatting sqref="D19:D22">
    <cfRule type="containsBlanks" dxfId="48" priority="27">
      <formula>LEN(TRIM(D19))=0</formula>
    </cfRule>
  </conditionalFormatting>
  <conditionalFormatting sqref="D21:D22">
    <cfRule type="notContainsBlanks" dxfId="47" priority="28">
      <formula>LEN(TRIM(D21))&gt;0</formula>
    </cfRule>
  </conditionalFormatting>
  <conditionalFormatting sqref="D28">
    <cfRule type="containsBlanks" dxfId="46" priority="61">
      <formula>LEN(TRIM(D28))=0</formula>
    </cfRule>
  </conditionalFormatting>
  <conditionalFormatting sqref="D53:E53 G53:H53">
    <cfRule type="cellIs" priority="48" operator="between">
      <formula>5690129</formula>
      <formula>8752889</formula>
    </cfRule>
    <cfRule type="cellIs" priority="47" operator="notBetween">
      <formula>5690129</formula>
      <formula>8752889</formula>
    </cfRule>
    <cfRule type="expression" priority="46">
      <formula>ISBLANK(D53)</formula>
    </cfRule>
  </conditionalFormatting>
  <conditionalFormatting sqref="D8:F9">
    <cfRule type="containsBlanks" dxfId="45" priority="66">
      <formula>LEN(TRIM(D8))=0</formula>
    </cfRule>
  </conditionalFormatting>
  <conditionalFormatting sqref="D3:G4">
    <cfRule type="notContainsBlanks" dxfId="44" priority="74">
      <formula>LEN(TRIM(D3))&gt;0</formula>
    </cfRule>
  </conditionalFormatting>
  <conditionalFormatting sqref="D5:G5">
    <cfRule type="expression" dxfId="43" priority="45">
      <formula>$D$4="RIO TINTO IRON ORE"</formula>
    </cfRule>
    <cfRule type="notContainsBlanks" dxfId="42" priority="44">
      <formula>LEN(TRIM(D5))&gt;0</formula>
    </cfRule>
  </conditionalFormatting>
  <conditionalFormatting sqref="D11:G11">
    <cfRule type="containsBlanks" dxfId="41" priority="69">
      <formula>LEN(TRIM(D11))=0</formula>
    </cfRule>
  </conditionalFormatting>
  <conditionalFormatting sqref="D12:G12">
    <cfRule type="containsBlanks" dxfId="40" priority="29">
      <formula>LEN(TRIM(D12))=0</formula>
    </cfRule>
  </conditionalFormatting>
  <conditionalFormatting sqref="D13:G16">
    <cfRule type="containsBlanks" dxfId="39" priority="62">
      <formula>LEN(TRIM(D13))=0</formula>
    </cfRule>
  </conditionalFormatting>
  <conditionalFormatting sqref="D17:G17">
    <cfRule type="containsBlanks" dxfId="38" priority="67">
      <formula>LEN(TRIM(D17))=0</formula>
    </cfRule>
  </conditionalFormatting>
  <conditionalFormatting sqref="E49">
    <cfRule type="notContainsBlanks" dxfId="37" priority="57">
      <formula>LEN(TRIM(E49))&gt;0</formula>
    </cfRule>
  </conditionalFormatting>
  <conditionalFormatting sqref="E48:F48">
    <cfRule type="notContainsBlanks" dxfId="36" priority="58">
      <formula>LEN(TRIM(E48))&gt;0</formula>
    </cfRule>
  </conditionalFormatting>
  <conditionalFormatting sqref="E22:G22">
    <cfRule type="expression" dxfId="35" priority="8">
      <formula>$F$22="LTD &gt;3m DTD Warning"</formula>
    </cfRule>
  </conditionalFormatting>
  <conditionalFormatting sqref="E64:O65">
    <cfRule type="containsBlanks" dxfId="34" priority="54">
      <formula>LEN(TRIM(E64))=0</formula>
    </cfRule>
  </conditionalFormatting>
  <conditionalFormatting sqref="F34:F44">
    <cfRule type="cellIs" dxfId="33" priority="72" operator="notEqual">
      <formula>"N"</formula>
    </cfRule>
  </conditionalFormatting>
  <conditionalFormatting sqref="G34:G44">
    <cfRule type="expression" priority="4" stopIfTrue="1">
      <formula>ISBLANK(G34)</formula>
    </cfRule>
    <cfRule type="expression" dxfId="32" priority="41">
      <formula>G34- INDIRECT("$AN$" &amp; 58+MATCH($B34,$AK$59:$AK$70,0)  ) &gt;=8</formula>
    </cfRule>
    <cfRule type="expression" dxfId="31" priority="42">
      <formula>G34- INDIRECT("$AN$" &amp; 58+MATCH($B34,$AK$59:$AK$70,0)  ) &gt;=0</formula>
    </cfRule>
    <cfRule type="expression" dxfId="30" priority="40">
      <formula>G34- INDIRECT("$AN$" &amp; 58+MATCH($B34,$AK$59:$AK$70,0)  ) &gt;=15</formula>
    </cfRule>
  </conditionalFormatting>
  <conditionalFormatting sqref="H3">
    <cfRule type="notContainsBlanks" dxfId="29" priority="76">
      <formula>LEN(TRIM(H3))&gt;0</formula>
    </cfRule>
  </conditionalFormatting>
  <conditionalFormatting sqref="H35:H44">
    <cfRule type="notContainsBlanks" dxfId="28" priority="1">
      <formula>LEN(TRIM(H35))&gt;0</formula>
    </cfRule>
  </conditionalFormatting>
  <conditionalFormatting sqref="H34:K34">
    <cfRule type="notContainsBlanks" dxfId="27" priority="22">
      <formula>LEN(TRIM(H34))&gt;0</formula>
    </cfRule>
  </conditionalFormatting>
  <conditionalFormatting sqref="H48:Q49">
    <cfRule type="notContainsBlanks" dxfId="26" priority="55">
      <formula>LEN(TRIM(H48))&gt;0</formula>
    </cfRule>
  </conditionalFormatting>
  <conditionalFormatting sqref="I35:J37 J38 I38:I42 I43:L44">
    <cfRule type="notContainsBlanks" dxfId="25" priority="63">
      <formula>LEN(TRIM(I35))&gt;0</formula>
    </cfRule>
  </conditionalFormatting>
  <conditionalFormatting sqref="J4">
    <cfRule type="containsBlanks" dxfId="24" priority="68">
      <formula>LEN(TRIM(J4))=0</formula>
    </cfRule>
  </conditionalFormatting>
  <conditionalFormatting sqref="J6">
    <cfRule type="containsBlanks" dxfId="23" priority="5">
      <formula>LEN(TRIM(J6))=0</formula>
    </cfRule>
    <cfRule type="cellIs" dxfId="22" priority="71" operator="equal">
      <formula>"No"</formula>
    </cfRule>
  </conditionalFormatting>
  <conditionalFormatting sqref="J8">
    <cfRule type="cellIs" dxfId="21" priority="70" operator="equal">
      <formula>"-"</formula>
    </cfRule>
  </conditionalFormatting>
  <conditionalFormatting sqref="J11:J13">
    <cfRule type="containsBlanks" dxfId="20" priority="38">
      <formula>LEN(TRIM(J11))=0</formula>
    </cfRule>
  </conditionalFormatting>
  <conditionalFormatting sqref="J14:J15">
    <cfRule type="expression" dxfId="19" priority="19">
      <formula>OR($J$16&lt;&gt;"",$J$17&lt;&gt;"",$L$16&lt;&gt;"",$L$17&lt;&gt;"")</formula>
    </cfRule>
  </conditionalFormatting>
  <conditionalFormatting sqref="J14:J17">
    <cfRule type="notContainsBlanks" dxfId="18" priority="18">
      <formula>LEN(TRIM(J14))&gt;0</formula>
    </cfRule>
  </conditionalFormatting>
  <conditionalFormatting sqref="J24:J25">
    <cfRule type="containsBlanks" dxfId="17" priority="30">
      <formula>LEN(TRIM(J24))=0</formula>
    </cfRule>
  </conditionalFormatting>
  <conditionalFormatting sqref="J39:K42">
    <cfRule type="notContainsBlanks" dxfId="16" priority="10">
      <formula>LEN(TRIM(J39))&gt;0</formula>
    </cfRule>
  </conditionalFormatting>
  <conditionalFormatting sqref="K35:K38">
    <cfRule type="notContainsBlanks" dxfId="15" priority="26">
      <formula>LEN(TRIM(K35))&gt;0</formula>
    </cfRule>
  </conditionalFormatting>
  <conditionalFormatting sqref="L34:L42">
    <cfRule type="notContainsBlanks" dxfId="14" priority="11">
      <formula>LEN(TRIM(L34))&gt;0</formula>
    </cfRule>
  </conditionalFormatting>
  <conditionalFormatting sqref="L16:M17">
    <cfRule type="notContainsBlanks" dxfId="13" priority="20">
      <formula>LEN(TRIM(L16))&gt;0</formula>
    </cfRule>
  </conditionalFormatting>
  <conditionalFormatting sqref="N34:N44">
    <cfRule type="notContainsBlanks" dxfId="12" priority="9">
      <formula>LEN(TRIM(N34))&gt;0</formula>
    </cfRule>
  </conditionalFormatting>
  <conditionalFormatting sqref="P34:Q44">
    <cfRule type="notContainsBlanks" dxfId="11" priority="33">
      <formula>LEN(TRIM(P34))&gt;0</formula>
    </cfRule>
  </conditionalFormatting>
  <conditionalFormatting sqref="S4">
    <cfRule type="containsBlanks" dxfId="10" priority="24">
      <formula>LEN(TRIM(S4))=0</formula>
    </cfRule>
  </conditionalFormatting>
  <conditionalFormatting sqref="S11:S13 U12 Y13:Y27 AA13:AA27 S15:S17 U15:U17 J18:J20 U19 S19:S21 S25 U25 S28 U28">
    <cfRule type="containsBlanks" dxfId="9" priority="36">
      <formula>LEN(TRIM(J11))=0</formula>
    </cfRule>
  </conditionalFormatting>
  <conditionalFormatting sqref="S22">
    <cfRule type="containsBlanks" dxfId="8" priority="37">
      <formula>LEN(TRIM(S22))=0</formula>
    </cfRule>
  </conditionalFormatting>
  <conditionalFormatting sqref="U34:U44">
    <cfRule type="notContainsBlanks" dxfId="7" priority="32">
      <formula>LEN(TRIM(U34))&gt;0</formula>
    </cfRule>
  </conditionalFormatting>
  <conditionalFormatting sqref="W34:W44">
    <cfRule type="notContainsBlanks" dxfId="6" priority="31">
      <formula>LEN(TRIM(W34))&gt;0</formula>
    </cfRule>
  </conditionalFormatting>
  <conditionalFormatting sqref="Y9">
    <cfRule type="cellIs" dxfId="5" priority="14" operator="between">
      <formula>0.6</formula>
      <formula>0.899999</formula>
    </cfRule>
    <cfRule type="cellIs" dxfId="4" priority="13" operator="between">
      <formula>0.5</formula>
      <formula>0.599999</formula>
    </cfRule>
    <cfRule type="cellIs" dxfId="3" priority="12" operator="between">
      <formula>0.00001</formula>
      <formula>0.4999999</formula>
    </cfRule>
    <cfRule type="cellIs" dxfId="2" priority="16" operator="equal">
      <formula>1</formula>
    </cfRule>
    <cfRule type="cellIs" dxfId="1" priority="15" operator="between">
      <formula>0.9</formula>
      <formula>0.999999</formula>
    </cfRule>
  </conditionalFormatting>
  <conditionalFormatting sqref="Y34:Y44">
    <cfRule type="cellIs" priority="73" operator="notBetween">
      <formula>-0.2</formula>
      <formula>0.4</formula>
    </cfRule>
  </conditionalFormatting>
  <conditionalFormatting sqref="AA34:AA44">
    <cfRule type="notContainsBlanks" dxfId="0" priority="65">
      <formula>LEN(TRIM(AA34))&gt;0</formula>
    </cfRule>
  </conditionalFormatting>
  <dataValidations count="40">
    <dataValidation type="list" errorStyle="warning" allowBlank="1" showInputMessage="1" showErrorMessage="1" errorTitle="Unknown Client Name Entered" error="You have entered a client name that is not in the existing list. _x000a__x000a_Double check the list for a valid name. _x000a__x000a_If one does not exist alert DPC who will update the sheet." sqref="D3:G3" xr:uid="{05028004-2451-44BA-AC1B-7094A4218ED8}">
      <formula1>$AS$5:$AS$151</formula1>
    </dataValidation>
    <dataValidation type="list" allowBlank="1" showInputMessage="1" showErrorMessage="1" errorTitle="Not Valid Unit" error="The Unit number you have entered is not in the list. If this is missing alert DPC ASAP and they will add it to the list." sqref="Y59:Z70" xr:uid="{A5049F20-11CA-48F6-8A0D-383E49D8165E}">
      <formula1>$AG$20:$AG$82</formula1>
    </dataValidation>
    <dataValidation type="list" allowBlank="1" showInputMessage="1" sqref="W59:X70" xr:uid="{B7AFD9D5-147D-4EA2-B2BF-2EC281444E1A}">
      <formula1>$AM$5:$AM$66</formula1>
    </dataValidation>
    <dataValidation type="list" allowBlank="1" showInputMessage="1" showErrorMessage="1" sqref="H34:H44" xr:uid="{62E0BC58-0229-4588-A077-58A131402CB8}">
      <formula1>$AY$5:$AY$90</formula1>
    </dataValidation>
    <dataValidation type="list" errorStyle="warning" allowBlank="1" showInputMessage="1" showErrorMessage="1" errorTitle="Invalid Tool Type" sqref="S59:T59" xr:uid="{8FC62CC6-A759-4D15-8C59-4F809EE16F9C}">
      <formula1>$AJ$48:$AJ$49</formula1>
    </dataValidation>
    <dataValidation type="list" allowBlank="1" showInputMessage="1" showErrorMessage="1" sqref="E34:E44" xr:uid="{8C5EE96E-2297-4B80-826B-E41CE273C0E3}">
      <formula1>$AH$11:$AH$17</formula1>
    </dataValidation>
    <dataValidation type="list" allowBlank="1" showInputMessage="1" showErrorMessage="1" sqref="B34:B44" xr:uid="{84A946BD-9A2B-4475-A3E7-560894FEF00D}">
      <formula1>$AJ$6:$AJ$31</formula1>
    </dataValidation>
    <dataValidation type="list" errorStyle="warning" allowBlank="1" showInputMessage="1" showErrorMessage="1" errorTitle="Invalid Tool Type" sqref="S61:T70" xr:uid="{5B575B77-4732-43E4-92D9-23B9D619AB40}">
      <formula1>$AJ$6:$AJ$31</formula1>
    </dataValidation>
    <dataValidation type="list" showDropDown="1" showInputMessage="1" sqref="B58:O61" xr:uid="{ADEF0F66-D7DC-4581-A591-5B0D0D4F0446}">
      <formula1>$AX$5:$AX$13</formula1>
    </dataValidation>
    <dataValidation type="decimal" allowBlank="1" showInputMessage="1" showErrorMessage="1" errorTitle="Incorrect Value" error="Please enter only a number between -90 and 90 and then select the correct dip orientation." sqref="J12" xr:uid="{9C4250F8-8B80-4D92-BB2B-CE2F5E743FB4}">
      <formula1>-90</formula1>
      <formula2>90</formula2>
    </dataValidation>
    <dataValidation type="decimal" allowBlank="1" showInputMessage="1" showErrorMessage="1" errorTitle="Entry not valid" error="You must enter a number from 0 to 360." sqref="J13" xr:uid="{6012FAC2-7D0B-49CD-9562-FE181340DA76}">
      <formula1>0</formula1>
      <formula2>360</formula2>
    </dataValidation>
    <dataValidation type="list" allowBlank="1" showInputMessage="1" showErrorMessage="1" errorTitle="Incorrect Value Entered" error="Please select a datum from the list." sqref="J14" xr:uid="{F8F95E79-78BB-470F-8FD4-AE54777AEE06}">
      <formula1>$AL$5:$AL$13</formula1>
    </dataValidation>
    <dataValidation type="decimal" allowBlank="1" showInputMessage="1" showErrorMessage="1" errorTitle="Northing Digits" error="Easting can be only numbers and have from 1 to 6 digits before the decimal point." sqref="L17:M17" xr:uid="{A6D8A6F6-17CB-466B-AE8F-915C8FE33BCB}">
      <formula1>0</formula1>
      <formula2>9999999</formula2>
    </dataValidation>
    <dataValidation type="decimal" allowBlank="1" showInputMessage="1" showErrorMessage="1" errorTitle="Easting Value" error="Easting can be only numbers and have from 1 to 6 digits before the decimal point." sqref="L16:M16" xr:uid="{229D8A91-B436-4390-9FAD-8999AA26F648}">
      <formula1>0</formula1>
      <formula2>999999</formula2>
    </dataValidation>
    <dataValidation type="list" allowBlank="1" showInputMessage="1" sqref="E65:O65" xr:uid="{8C7383BB-4EDE-4907-BEBA-5E70E466F058}">
      <formula1>$AE$65:$AE$69</formula1>
    </dataValidation>
    <dataValidation type="list" allowBlank="1" showInputMessage="1" sqref="E64:O64" xr:uid="{326B924C-B91E-42BE-A6EC-07E36CDEB1C6}">
      <formula1>$AE$56:$AE$62</formula1>
    </dataValidation>
    <dataValidation type="list" showInputMessage="1" sqref="J8:P8" xr:uid="{5D9DE452-465A-4529-8377-2E2096CDD12C}">
      <formula1>$AE$44:$AE$51</formula1>
    </dataValidation>
    <dataValidation type="list" showInputMessage="1" showErrorMessage="1" errorTitle="C'mon guys" error="You can only enter &quot;Yes&quot; or &quot;No&quot;" sqref="N6" xr:uid="{1F541877-016C-461D-99F2-D5CAC6814CC8}">
      <formula1>IF(J6="YES",$AH$6:$AH$7,INDIRECT("fakelist"))</formula1>
    </dataValidation>
    <dataValidation type="list" allowBlank="1" showInputMessage="1" sqref="D15:G15" xr:uid="{4628E970-6183-42F3-B5DF-2E80A2B855F0}">
      <formula1>$AR$5:$AR$26</formula1>
    </dataValidation>
    <dataValidation type="list" allowBlank="1" showInputMessage="1" sqref="S22" xr:uid="{65BF9DA4-AF84-4AFC-887D-CB6CEBE8568B}">
      <formula1>$AE$39:$AE$41</formula1>
    </dataValidation>
    <dataValidation allowBlank="1" showInputMessage="1" sqref="B67:B69 C67:O68" xr:uid="{F1FCA131-AA99-4EC4-B6B8-0A0120B26B47}"/>
    <dataValidation type="list" errorStyle="warning" allowBlank="1" showInputMessage="1" showErrorMessage="1" errorTitle="Invald ToolType" sqref="S60:T60" xr:uid="{601C5AD8-9ACF-4F57-8C1C-6F81D612F65A}">
      <formula1>$AJ$50:$AJ$50</formula1>
    </dataValidation>
    <dataValidation type="list" showInputMessage="1" showErrorMessage="1" sqref="S4" xr:uid="{6FE7954F-7FB0-4F94-A7F2-C5057FFC0EB1}">
      <formula1>$AE$28:$AE$31</formula1>
    </dataValidation>
    <dataValidation showDropDown="1" showInputMessage="1" sqref="I34:I44" xr:uid="{D0653F1D-997D-4B03-B15D-73A26F4D3384}"/>
    <dataValidation type="list" allowBlank="1" showInputMessage="1" sqref="D16:G16" xr:uid="{6E4F2367-84ED-410E-8CB0-4FA1730BFEEF}">
      <formula1>$AV$5:$AV$12</formula1>
    </dataValidation>
    <dataValidation type="list" allowBlank="1" showInputMessage="1" showErrorMessage="1" sqref="B2" xr:uid="{03649D28-067F-4565-951D-CC6EFCEFDA2B}">
      <formula1>$AE$20:$AE$23</formula1>
    </dataValidation>
    <dataValidation type="list" allowBlank="1" showInputMessage="1" showErrorMessage="1" sqref="U12" xr:uid="{13CFFFFB-2B57-4B1F-92BB-3A74BEA3F4EC}">
      <formula1>$AO$13:$AO$14</formula1>
    </dataValidation>
    <dataValidation type="list" allowBlank="1" showInputMessage="1" showErrorMessage="1" sqref="S11" xr:uid="{AAFE1643-4C11-41BF-8E0B-A306ED49D443}">
      <formula1>$AN$5:$AN$12</formula1>
    </dataValidation>
    <dataValidation type="list" allowBlank="1" showInputMessage="1" showErrorMessage="1" sqref="J27:J28" xr:uid="{A80C6866-0B81-4346-92AE-3D0722D5C409}">
      <formula1>$AH$6:$AH$7</formula1>
    </dataValidation>
    <dataValidation type="list" allowBlank="1" showInputMessage="1" showErrorMessage="1" sqref="J21:J22" xr:uid="{A640DEB7-6093-4403-9FCA-5E4643A45248}">
      <formula1>$AE$5:$AE$8</formula1>
    </dataValidation>
    <dataValidation type="list" allowBlank="1" showInputMessage="1" showErrorMessage="1" errorTitle="Incorrect Value" error="Please select the grid zone from the list or type it in the correct format_x000a__x000a_number, number, letter (n/s)_x000a__x000a_two numbers for the zone number._x000a_&quot;n&quot; or &quot;S&quot; for north or south hemisphere." sqref="J15" xr:uid="{ECEE1901-523A-415A-A17B-7BEB2A6778CB}">
      <formula1>$AP$5:$AP$125</formula1>
    </dataValidation>
    <dataValidation type="list" allowBlank="1" showInputMessage="1" showErrorMessage="1" sqref="K12" xr:uid="{A178B27B-954D-4F0D-9FA8-EA6CAD10D787}">
      <formula1>$AG$5:$AG$6</formula1>
    </dataValidation>
    <dataValidation type="list" allowBlank="1" showInputMessage="1" showErrorMessage="1" errorTitle="C'mon guys" error="You can only enter &quot;Yes&quot;, &quot;No&quot;, or &quot;NS&quot;" sqref="J6" xr:uid="{0F1D433E-0D5F-47A3-8EBC-965A675FBB3F}">
      <formula1>$AH$6:$AH$8</formula1>
    </dataValidation>
    <dataValidation type="list" allowBlank="1" showInputMessage="1" showErrorMessage="1" sqref="D28" xr:uid="{D44198BA-69CD-4DC7-92E9-4DE230AA8372}">
      <formula1>$AI$13:$AI$18</formula1>
    </dataValidation>
    <dataValidation type="list" allowBlank="1" showInputMessage="1" showErrorMessage="1" sqref="E27" xr:uid="{F9790B3D-A1F9-4144-AC63-AE454D82EB25}">
      <formula1>$AO$9:$AO$11</formula1>
    </dataValidation>
    <dataValidation type="list" allowBlank="1" showInputMessage="1" showErrorMessage="1" sqref="E20 E25:E26" xr:uid="{F71008E0-D977-4895-AADD-3004E08B58DA}">
      <formula1>$AO$5:$AO$7</formula1>
    </dataValidation>
    <dataValidation type="list" allowBlank="1" showInputMessage="1" showErrorMessage="1" sqref="D19" xr:uid="{FC10E08E-6D63-4CE5-A660-3AA12DFFA07A}">
      <formula1>$AI$5:$AI$11</formula1>
    </dataValidation>
    <dataValidation allowBlank="1" showErrorMessage="1" sqref="B32:B33 C33" xr:uid="{000A8023-7510-4A97-9794-A2043D9745A7}">
      <formula1>0</formula1>
      <formula2>0</formula2>
    </dataValidation>
    <dataValidation allowBlank="1" showErrorMessage="1" promptTitle="NOTE" prompt="Use first initial only - header limited to 13 characters." sqref="D7" xr:uid="{33154234-B412-486A-8901-A7554941D8BC}">
      <formula1>0</formula1>
      <formula2>0</formula2>
    </dataValidation>
    <dataValidation type="decimal" allowBlank="1" showErrorMessage="1" sqref="D53:E53 G53:H53 J16:J17" xr:uid="{11140803-0BD6-4883-81E0-2FF0002A2ACC}">
      <formula1>-100000000</formula1>
      <formula2>100000000</formula2>
    </dataValidation>
  </dataValidations>
  <printOptions horizontalCentered="1" verticalCentered="1"/>
  <pageMargins left="0" right="0" top="0" bottom="0" header="0.51180555555555496" footer="0.51180555555555496"/>
  <pageSetup paperSize="9" scale="39" firstPageNumber="0" fitToHeight="2"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CDE7-DCF5-48BC-9838-53F87C65A827}">
  <sheetPr codeName="Sheet3"/>
  <dimension ref="A1:XFD10"/>
  <sheetViews>
    <sheetView workbookViewId="0">
      <selection activeCell="A10" sqref="A10:ZZ10"/>
    </sheetView>
  </sheetViews>
  <sheetFormatPr defaultColWidth="8.81640625" defaultRowHeight="12.5" x14ac:dyDescent="0.25"/>
  <cols>
    <col min="1" max="1" width="16.81640625" style="286" customWidth="1"/>
    <col min="2" max="2" width="12.1796875" customWidth="1"/>
    <col min="3" max="3" width="9.453125" bestFit="1" customWidth="1"/>
    <col min="4" max="4" width="10.453125" bestFit="1" customWidth="1"/>
    <col min="19" max="19" width="11.7265625" customWidth="1"/>
    <col min="20" max="20" width="12.81640625" customWidth="1"/>
    <col min="21" max="21" width="28.453125" customWidth="1"/>
    <col min="22" max="22" width="15" customWidth="1"/>
    <col min="23" max="23" width="11.54296875" customWidth="1"/>
    <col min="24" max="24" width="18.26953125" customWidth="1"/>
    <col min="39" max="39" width="21" customWidth="1"/>
  </cols>
  <sheetData>
    <row r="1" spans="1:3072 3074:6144 6146:9216 9218:12288 12290:15360 15362:16384" ht="20" x14ac:dyDescent="0.4">
      <c r="A1" s="285" t="s">
        <v>1390</v>
      </c>
    </row>
    <row r="2" spans="1:3072 3074:6144 6146:9216 9218:12288 12290:15360 15362:16384" x14ac:dyDescent="0.25">
      <c r="C2" s="286"/>
      <c r="E2" s="286"/>
      <c r="G2" s="286"/>
      <c r="I2" s="286"/>
      <c r="K2" s="286"/>
      <c r="M2" s="286"/>
      <c r="O2" s="286"/>
      <c r="Q2" s="286"/>
      <c r="S2" s="286"/>
      <c r="U2" s="286"/>
      <c r="W2" s="286"/>
      <c r="Y2" s="286"/>
      <c r="AA2" s="286"/>
      <c r="AC2" s="286"/>
      <c r="AE2" s="286"/>
      <c r="AG2" s="286"/>
      <c r="AI2" s="286"/>
      <c r="AK2" s="286"/>
      <c r="AM2" s="286"/>
      <c r="AO2" s="286"/>
      <c r="AQ2" s="286"/>
      <c r="AS2" s="286"/>
      <c r="AU2" s="286"/>
      <c r="AW2" s="286"/>
      <c r="AY2" s="286"/>
      <c r="BA2" s="286"/>
      <c r="BC2" s="286"/>
    </row>
    <row r="3" spans="1:3072 3074:6144 6146:9216 9218:12288 12290:15360 15362:16384" s="15" customFormat="1" ht="31.5" x14ac:dyDescent="0.2">
      <c r="A3" s="287" t="s">
        <v>139</v>
      </c>
      <c r="B3" s="287" t="s">
        <v>1391</v>
      </c>
      <c r="C3" s="287" t="s">
        <v>593</v>
      </c>
      <c r="D3" s="287" t="s">
        <v>594</v>
      </c>
      <c r="E3" s="287" t="s">
        <v>23</v>
      </c>
      <c r="F3" s="287" t="s">
        <v>178</v>
      </c>
      <c r="G3" s="287" t="s">
        <v>1392</v>
      </c>
      <c r="H3" s="288" t="s">
        <v>1393</v>
      </c>
      <c r="I3" s="289" t="s">
        <v>1394</v>
      </c>
      <c r="J3" s="290" t="s">
        <v>1395</v>
      </c>
      <c r="K3" s="291" t="s">
        <v>1396</v>
      </c>
      <c r="L3" s="292" t="s">
        <v>1397</v>
      </c>
      <c r="M3" s="292" t="s">
        <v>1398</v>
      </c>
      <c r="N3" s="293" t="s">
        <v>1399</v>
      </c>
      <c r="O3" s="294" t="s">
        <v>1400</v>
      </c>
      <c r="P3" s="295" t="s">
        <v>1401</v>
      </c>
      <c r="Q3" s="295" t="s">
        <v>1402</v>
      </c>
      <c r="R3" s="295" t="s">
        <v>1403</v>
      </c>
      <c r="S3" s="295" t="s">
        <v>1404</v>
      </c>
      <c r="T3" s="296" t="s">
        <v>1405</v>
      </c>
      <c r="U3" s="296" t="s">
        <v>1406</v>
      </c>
      <c r="V3" s="296" t="s">
        <v>1407</v>
      </c>
      <c r="W3" s="296" t="s">
        <v>1408</v>
      </c>
      <c r="X3" s="296" t="s">
        <v>1409</v>
      </c>
    </row>
    <row r="4" spans="1:3072 3074:6144 6146:9216 9218:12288 12290:15360 15362:16384" s="15" customFormat="1" ht="10" x14ac:dyDescent="0.2">
      <c r="A4" s="15" t="str">
        <f>'All Details'!A2</f>
        <v>RC26VIV0007</v>
      </c>
      <c r="B4" s="325" t="str">
        <f>'All Details'!E2</f>
        <v>VIV</v>
      </c>
      <c r="C4" s="298" t="str">
        <f>'All Details'!U2</f>
        <v/>
      </c>
      <c r="D4" s="298" t="str">
        <f>'All Details'!T2</f>
        <v/>
      </c>
      <c r="E4" s="297">
        <f>'All Details'!AB2</f>
        <v>-90</v>
      </c>
      <c r="F4" s="297">
        <f>'All Details'!AC2</f>
        <v>0</v>
      </c>
      <c r="G4" s="297">
        <f>'All Details'!B2</f>
        <v>12946</v>
      </c>
      <c r="H4" s="298">
        <f>'All Details'!O2</f>
        <v>36</v>
      </c>
      <c r="I4" s="299" t="str">
        <f>'All Details'!DZ2</f>
        <v/>
      </c>
      <c r="J4" s="297" t="str">
        <f>'All Details'!DR2</f>
        <v/>
      </c>
      <c r="K4" s="297"/>
      <c r="L4" s="299">
        <f>'All Details'!KR2</f>
        <v>46102</v>
      </c>
      <c r="M4" s="299" t="str">
        <f>'All Details'!IE2</f>
        <v/>
      </c>
      <c r="N4" s="297" t="str">
        <f>'All Details'!DS2</f>
        <v>TJJ</v>
      </c>
      <c r="O4" s="297">
        <f>'All Details'!DV2</f>
        <v>2107</v>
      </c>
      <c r="P4" s="299">
        <f>'All Details'!LR2</f>
        <v>46102</v>
      </c>
      <c r="Q4" s="299" t="str">
        <f>'All Details'!LE2</f>
        <v/>
      </c>
      <c r="R4" s="297" t="str">
        <f>'All Details'!FJ2</f>
        <v>TJJ</v>
      </c>
      <c r="S4" s="297" t="str">
        <f>'All Details'!FI2</f>
        <v/>
      </c>
      <c r="T4" s="297" t="str">
        <f>'All Details'!L2</f>
        <v>Yes</v>
      </c>
      <c r="U4" s="16" t="str">
        <f>'All Details'!AN2</f>
        <v/>
      </c>
      <c r="V4" s="16" t="str">
        <f>'All Details'!AO2</f>
        <v/>
      </c>
      <c r="W4" s="16" t="str">
        <f>'All Details'!AP2</f>
        <v/>
      </c>
      <c r="X4" s="16" t="str">
        <f>'All Details'!AQ2</f>
        <v/>
      </c>
      <c r="Y4" s="15" t="str">
        <f>'All Details'!AR2</f>
        <v/>
      </c>
      <c r="Z4" s="297"/>
      <c r="AA4" s="298"/>
      <c r="AB4" s="298"/>
      <c r="AC4" s="297"/>
      <c r="AD4" s="297"/>
      <c r="AE4" s="297"/>
      <c r="AF4" s="298"/>
      <c r="AG4" s="299"/>
      <c r="AH4" s="297"/>
      <c r="AI4" s="297"/>
      <c r="AJ4" s="299"/>
      <c r="AK4" s="299"/>
      <c r="AL4" s="297"/>
      <c r="AM4" s="297"/>
      <c r="AN4" s="299"/>
      <c r="AO4" s="299"/>
      <c r="AP4" s="297"/>
      <c r="AQ4" s="297"/>
      <c r="AR4" s="297"/>
      <c r="AS4" s="16"/>
      <c r="AT4" s="16"/>
      <c r="AU4" s="16"/>
      <c r="AV4" s="16"/>
      <c r="AX4" s="297"/>
      <c r="AY4" s="298"/>
      <c r="AZ4" s="298"/>
      <c r="BA4" s="297"/>
      <c r="BB4" s="297"/>
      <c r="BC4" s="297"/>
      <c r="BD4" s="298"/>
      <c r="BE4" s="299"/>
      <c r="BF4" s="297"/>
      <c r="BG4" s="297"/>
      <c r="BH4" s="299"/>
      <c r="BI4" s="299"/>
      <c r="BJ4" s="297"/>
      <c r="BK4" s="297"/>
      <c r="BL4" s="299"/>
      <c r="BM4" s="299"/>
      <c r="BN4" s="297"/>
      <c r="BO4" s="297"/>
      <c r="BP4" s="297"/>
      <c r="BQ4" s="16"/>
      <c r="BR4" s="16"/>
      <c r="BS4" s="16"/>
      <c r="BT4" s="16"/>
      <c r="BV4" s="297"/>
      <c r="BW4" s="298"/>
      <c r="BX4" s="298"/>
      <c r="BY4" s="297"/>
      <c r="BZ4" s="297"/>
      <c r="CA4" s="297"/>
      <c r="CB4" s="298"/>
      <c r="CC4" s="299"/>
      <c r="CD4" s="297"/>
      <c r="CE4" s="297"/>
      <c r="CF4" s="299"/>
      <c r="CG4" s="299"/>
      <c r="CH4" s="297"/>
      <c r="CI4" s="297"/>
      <c r="CJ4" s="299"/>
      <c r="CK4" s="299"/>
      <c r="CL4" s="297"/>
      <c r="CM4" s="297"/>
      <c r="CN4" s="297"/>
      <c r="CO4" s="16"/>
      <c r="CP4" s="16"/>
      <c r="CQ4" s="16"/>
      <c r="CR4" s="16"/>
      <c r="CT4" s="297"/>
      <c r="CU4" s="298"/>
      <c r="CV4" s="298"/>
      <c r="CW4" s="297"/>
      <c r="CX4" s="297"/>
      <c r="CY4" s="297"/>
      <c r="CZ4" s="298"/>
      <c r="DA4" s="299"/>
      <c r="DB4" s="297"/>
      <c r="DC4" s="297"/>
      <c r="DD4" s="299"/>
      <c r="DE4" s="299"/>
      <c r="DF4" s="297"/>
      <c r="DG4" s="297"/>
      <c r="DH4" s="299"/>
      <c r="DI4" s="299"/>
      <c r="DJ4" s="297"/>
      <c r="DK4" s="297"/>
      <c r="DL4" s="297"/>
      <c r="DM4" s="16"/>
      <c r="DN4" s="16"/>
      <c r="DO4" s="16"/>
      <c r="DP4" s="16"/>
      <c r="DR4" s="297"/>
      <c r="DS4" s="298"/>
      <c r="DT4" s="298"/>
      <c r="DU4" s="297"/>
      <c r="DV4" s="297"/>
      <c r="DW4" s="297"/>
      <c r="DX4" s="298"/>
      <c r="DY4" s="299"/>
      <c r="DZ4" s="297"/>
      <c r="EA4" s="297"/>
      <c r="EB4" s="299"/>
      <c r="EC4" s="299"/>
      <c r="ED4" s="297"/>
      <c r="EE4" s="297"/>
      <c r="EF4" s="299"/>
      <c r="EG4" s="299"/>
      <c r="EH4" s="297"/>
      <c r="EI4" s="297"/>
      <c r="EJ4" s="297"/>
      <c r="EK4" s="16"/>
      <c r="EL4" s="16"/>
      <c r="EM4" s="16"/>
      <c r="EN4" s="16"/>
      <c r="EP4" s="297"/>
      <c r="EQ4" s="298"/>
      <c r="ER4" s="298"/>
      <c r="ES4" s="297"/>
      <c r="ET4" s="297"/>
      <c r="EU4" s="297"/>
      <c r="EV4" s="298"/>
      <c r="EW4" s="299"/>
      <c r="EX4" s="297"/>
      <c r="EY4" s="297"/>
      <c r="EZ4" s="299"/>
      <c r="FA4" s="299"/>
      <c r="FB4" s="297"/>
      <c r="FC4" s="297"/>
      <c r="FD4" s="299"/>
      <c r="FE4" s="299"/>
      <c r="FF4" s="297"/>
      <c r="FG4" s="297"/>
      <c r="FH4" s="297"/>
      <c r="FI4" s="16"/>
      <c r="FJ4" s="16"/>
      <c r="FK4" s="16"/>
      <c r="FL4" s="16"/>
      <c r="FN4" s="297"/>
      <c r="FO4" s="298"/>
      <c r="FP4" s="298"/>
      <c r="FQ4" s="297"/>
      <c r="FR4" s="297"/>
      <c r="FS4" s="297"/>
      <c r="FT4" s="298"/>
      <c r="FU4" s="299"/>
      <c r="FV4" s="297"/>
      <c r="FW4" s="297"/>
      <c r="FX4" s="299"/>
      <c r="FY4" s="299"/>
      <c r="FZ4" s="297"/>
      <c r="GA4" s="297"/>
      <c r="GB4" s="299"/>
      <c r="GC4" s="299"/>
      <c r="GD4" s="297"/>
      <c r="GE4" s="297"/>
      <c r="GF4" s="297"/>
      <c r="GG4" s="16"/>
      <c r="GH4" s="16"/>
      <c r="GI4" s="16"/>
      <c r="GJ4" s="16"/>
      <c r="GL4" s="297"/>
      <c r="GM4" s="298"/>
      <c r="GN4" s="298"/>
      <c r="GO4" s="297"/>
      <c r="GP4" s="297"/>
      <c r="GQ4" s="297"/>
      <c r="GR4" s="298"/>
      <c r="GS4" s="299"/>
      <c r="GT4" s="297"/>
      <c r="GU4" s="297"/>
      <c r="GV4" s="299"/>
      <c r="GW4" s="299"/>
      <c r="GX4" s="297"/>
      <c r="GY4" s="297"/>
      <c r="GZ4" s="299"/>
      <c r="HA4" s="299"/>
      <c r="HB4" s="297"/>
      <c r="HC4" s="297"/>
      <c r="HD4" s="297"/>
      <c r="HE4" s="16"/>
      <c r="HF4" s="16"/>
      <c r="HG4" s="16"/>
      <c r="HH4" s="16"/>
      <c r="HJ4" s="297"/>
      <c r="HK4" s="298"/>
      <c r="HL4" s="298"/>
      <c r="HM4" s="297"/>
      <c r="HN4" s="297"/>
      <c r="HO4" s="297"/>
      <c r="HP4" s="298"/>
      <c r="HQ4" s="299"/>
      <c r="HR4" s="297"/>
      <c r="HS4" s="297"/>
      <c r="HT4" s="299"/>
      <c r="HU4" s="299"/>
      <c r="HV4" s="297"/>
      <c r="HW4" s="297"/>
      <c r="HX4" s="299"/>
      <c r="HY4" s="299"/>
      <c r="HZ4" s="297"/>
      <c r="IA4" s="297"/>
      <c r="IB4" s="297"/>
      <c r="IC4" s="16"/>
      <c r="ID4" s="16"/>
      <c r="IE4" s="16"/>
      <c r="IF4" s="16"/>
      <c r="IH4" s="297"/>
      <c r="II4" s="298"/>
      <c r="IJ4" s="298"/>
      <c r="IK4" s="297"/>
      <c r="IL4" s="297"/>
      <c r="IM4" s="297"/>
      <c r="IN4" s="298"/>
      <c r="IO4" s="299"/>
      <c r="IP4" s="297"/>
      <c r="IQ4" s="297"/>
      <c r="IR4" s="299"/>
      <c r="IS4" s="299"/>
      <c r="IT4" s="297"/>
      <c r="IU4" s="297"/>
      <c r="IV4" s="299"/>
      <c r="IW4" s="299"/>
      <c r="IX4" s="297"/>
      <c r="IY4" s="297"/>
      <c r="IZ4" s="297"/>
      <c r="JA4" s="16"/>
      <c r="JB4" s="16"/>
      <c r="JC4" s="16"/>
      <c r="JD4" s="16"/>
      <c r="JF4" s="297"/>
      <c r="JG4" s="298"/>
      <c r="JH4" s="298"/>
      <c r="JI4" s="297"/>
      <c r="JJ4" s="297"/>
      <c r="JK4" s="297"/>
      <c r="JL4" s="298"/>
      <c r="JM4" s="299"/>
      <c r="JN4" s="297"/>
      <c r="JO4" s="297"/>
      <c r="JP4" s="299"/>
      <c r="JQ4" s="299"/>
      <c r="JR4" s="297"/>
      <c r="JS4" s="297"/>
      <c r="JT4" s="299"/>
      <c r="JU4" s="299"/>
      <c r="JV4" s="297"/>
      <c r="JW4" s="297"/>
      <c r="JX4" s="297"/>
      <c r="JY4" s="16"/>
      <c r="JZ4" s="16"/>
      <c r="KA4" s="16"/>
      <c r="KB4" s="16"/>
      <c r="KD4" s="297"/>
      <c r="KE4" s="298"/>
      <c r="KF4" s="298"/>
      <c r="KG4" s="297"/>
      <c r="KH4" s="297"/>
      <c r="KI4" s="297"/>
      <c r="KJ4" s="298"/>
      <c r="KK4" s="299"/>
      <c r="KL4" s="297"/>
      <c r="KM4" s="297"/>
      <c r="KN4" s="299"/>
      <c r="KO4" s="299"/>
      <c r="KP4" s="297"/>
      <c r="KQ4" s="297"/>
      <c r="KR4" s="299"/>
      <c r="KS4" s="299"/>
      <c r="KT4" s="297"/>
      <c r="KU4" s="297"/>
      <c r="KV4" s="297"/>
      <c r="KW4" s="16"/>
      <c r="KX4" s="16"/>
      <c r="KY4" s="16"/>
      <c r="KZ4" s="16"/>
      <c r="LB4" s="297"/>
      <c r="LC4" s="298"/>
      <c r="LD4" s="298"/>
      <c r="LE4" s="297"/>
      <c r="LF4" s="297"/>
      <c r="LG4" s="297"/>
      <c r="LH4" s="298"/>
      <c r="LI4" s="299"/>
      <c r="LJ4" s="297"/>
      <c r="LK4" s="297"/>
      <c r="LL4" s="299"/>
      <c r="LM4" s="299"/>
      <c r="LN4" s="297"/>
      <c r="LO4" s="297"/>
      <c r="LP4" s="299"/>
      <c r="LQ4" s="299"/>
      <c r="LR4" s="297"/>
      <c r="LS4" s="297"/>
      <c r="LT4" s="297"/>
      <c r="LU4" s="16"/>
      <c r="LV4" s="16"/>
      <c r="LW4" s="16"/>
      <c r="LX4" s="16"/>
      <c r="LZ4" s="297"/>
      <c r="MA4" s="298"/>
      <c r="MB4" s="298"/>
      <c r="MC4" s="297"/>
      <c r="MD4" s="297"/>
      <c r="ME4" s="297"/>
      <c r="MF4" s="298"/>
      <c r="MG4" s="299"/>
      <c r="MH4" s="297"/>
      <c r="MI4" s="297"/>
      <c r="MJ4" s="299"/>
      <c r="MK4" s="299"/>
      <c r="ML4" s="297"/>
      <c r="MM4" s="297"/>
      <c r="MN4" s="299"/>
      <c r="MO4" s="299"/>
      <c r="MP4" s="297"/>
      <c r="MQ4" s="297"/>
      <c r="MR4" s="297"/>
      <c r="MS4" s="16"/>
      <c r="MT4" s="16"/>
      <c r="MU4" s="16"/>
      <c r="MV4" s="16"/>
      <c r="MX4" s="297"/>
      <c r="MY4" s="298"/>
      <c r="MZ4" s="298"/>
      <c r="NA4" s="297"/>
      <c r="NB4" s="297"/>
      <c r="NC4" s="297"/>
      <c r="ND4" s="298"/>
      <c r="NE4" s="299"/>
      <c r="NF4" s="297"/>
      <c r="NG4" s="297"/>
      <c r="NH4" s="299"/>
      <c r="NI4" s="299"/>
      <c r="NJ4" s="297"/>
      <c r="NK4" s="297"/>
      <c r="NL4" s="299"/>
      <c r="NM4" s="299"/>
      <c r="NN4" s="297"/>
      <c r="NO4" s="297"/>
      <c r="NP4" s="297"/>
      <c r="NQ4" s="16"/>
      <c r="NR4" s="16"/>
      <c r="NS4" s="16"/>
      <c r="NT4" s="16"/>
      <c r="NV4" s="297"/>
      <c r="NW4" s="298"/>
      <c r="NX4" s="298"/>
      <c r="NY4" s="297"/>
      <c r="NZ4" s="297"/>
      <c r="OA4" s="297"/>
      <c r="OB4" s="298"/>
      <c r="OC4" s="299"/>
      <c r="OD4" s="297"/>
      <c r="OE4" s="297"/>
      <c r="OF4" s="299"/>
      <c r="OG4" s="299"/>
      <c r="OH4" s="297"/>
      <c r="OI4" s="297"/>
      <c r="OJ4" s="299"/>
      <c r="OK4" s="299"/>
      <c r="OL4" s="297"/>
      <c r="OM4" s="297"/>
      <c r="ON4" s="297"/>
      <c r="OO4" s="16"/>
      <c r="OP4" s="16"/>
      <c r="OQ4" s="16"/>
      <c r="OR4" s="16"/>
      <c r="OT4" s="297"/>
      <c r="OU4" s="298"/>
      <c r="OV4" s="298"/>
      <c r="OW4" s="297"/>
      <c r="OX4" s="297"/>
      <c r="OY4" s="297"/>
      <c r="OZ4" s="298"/>
      <c r="PA4" s="299"/>
      <c r="PB4" s="297"/>
      <c r="PC4" s="297"/>
      <c r="PD4" s="299"/>
      <c r="PE4" s="299"/>
      <c r="PF4" s="297"/>
      <c r="PG4" s="297"/>
      <c r="PH4" s="299"/>
      <c r="PI4" s="299"/>
      <c r="PJ4" s="297"/>
      <c r="PK4" s="297"/>
      <c r="PL4" s="297"/>
      <c r="PM4" s="16"/>
      <c r="PN4" s="16"/>
      <c r="PO4" s="16"/>
      <c r="PP4" s="16"/>
      <c r="PR4" s="297"/>
      <c r="PS4" s="298"/>
      <c r="PT4" s="298"/>
      <c r="PU4" s="297"/>
      <c r="PV4" s="297"/>
      <c r="PW4" s="297"/>
      <c r="PX4" s="298"/>
      <c r="PY4" s="299"/>
      <c r="PZ4" s="297"/>
      <c r="QA4" s="297"/>
      <c r="QB4" s="299"/>
      <c r="QC4" s="299"/>
      <c r="QD4" s="297"/>
      <c r="QE4" s="297"/>
      <c r="QF4" s="299"/>
      <c r="QG4" s="299"/>
      <c r="QH4" s="297"/>
      <c r="QI4" s="297"/>
      <c r="QJ4" s="297"/>
      <c r="QK4" s="16"/>
      <c r="QL4" s="16"/>
      <c r="QM4" s="16"/>
      <c r="QN4" s="16"/>
      <c r="QP4" s="297"/>
      <c r="QQ4" s="298"/>
      <c r="QR4" s="298"/>
      <c r="QS4" s="297"/>
      <c r="QT4" s="297"/>
      <c r="QU4" s="297"/>
      <c r="QV4" s="298"/>
      <c r="QW4" s="299"/>
      <c r="QX4" s="297"/>
      <c r="QY4" s="297"/>
      <c r="QZ4" s="299"/>
      <c r="RA4" s="299"/>
      <c r="RB4" s="297"/>
      <c r="RC4" s="297"/>
      <c r="RD4" s="299"/>
      <c r="RE4" s="299"/>
      <c r="RF4" s="297"/>
      <c r="RG4" s="297"/>
      <c r="RH4" s="297"/>
      <c r="RI4" s="16"/>
      <c r="RJ4" s="16"/>
      <c r="RK4" s="16"/>
      <c r="RL4" s="16"/>
      <c r="RN4" s="297"/>
      <c r="RO4" s="298"/>
      <c r="RP4" s="298"/>
      <c r="RQ4" s="297"/>
      <c r="RR4" s="297"/>
      <c r="RS4" s="297"/>
      <c r="RT4" s="298"/>
      <c r="RU4" s="299"/>
      <c r="RV4" s="297"/>
      <c r="RW4" s="297"/>
      <c r="RX4" s="299"/>
      <c r="RY4" s="299"/>
      <c r="RZ4" s="297"/>
      <c r="SA4" s="297"/>
      <c r="SB4" s="299"/>
      <c r="SC4" s="299"/>
      <c r="SD4" s="297"/>
      <c r="SE4" s="297"/>
      <c r="SF4" s="297"/>
      <c r="SG4" s="16"/>
      <c r="SH4" s="16"/>
      <c r="SI4" s="16"/>
      <c r="SJ4" s="16"/>
      <c r="SL4" s="297"/>
      <c r="SM4" s="298"/>
      <c r="SN4" s="298"/>
      <c r="SO4" s="297"/>
      <c r="SP4" s="297"/>
      <c r="SQ4" s="297"/>
      <c r="SR4" s="298"/>
      <c r="SS4" s="299"/>
      <c r="ST4" s="297"/>
      <c r="SU4" s="297"/>
      <c r="SV4" s="299"/>
      <c r="SW4" s="299"/>
      <c r="SX4" s="297"/>
      <c r="SY4" s="297"/>
      <c r="SZ4" s="299"/>
      <c r="TA4" s="299"/>
      <c r="TB4" s="297"/>
      <c r="TC4" s="297"/>
      <c r="TD4" s="297"/>
      <c r="TE4" s="16"/>
      <c r="TF4" s="16"/>
      <c r="TG4" s="16"/>
      <c r="TH4" s="16"/>
      <c r="TJ4" s="297"/>
      <c r="TK4" s="298"/>
      <c r="TL4" s="298"/>
      <c r="TM4" s="297"/>
      <c r="TN4" s="297"/>
      <c r="TO4" s="297"/>
      <c r="TP4" s="298"/>
      <c r="TQ4" s="299"/>
      <c r="TR4" s="297"/>
      <c r="TS4" s="297"/>
      <c r="TT4" s="299"/>
      <c r="TU4" s="299"/>
      <c r="TV4" s="297"/>
      <c r="TW4" s="297"/>
      <c r="TX4" s="299"/>
      <c r="TY4" s="299"/>
      <c r="TZ4" s="297"/>
      <c r="UA4" s="297"/>
      <c r="UB4" s="297"/>
      <c r="UC4" s="16"/>
      <c r="UD4" s="16"/>
      <c r="UE4" s="16"/>
      <c r="UF4" s="16"/>
      <c r="UH4" s="297"/>
      <c r="UI4" s="298"/>
      <c r="UJ4" s="298"/>
      <c r="UK4" s="297"/>
      <c r="UL4" s="297"/>
      <c r="UM4" s="297"/>
      <c r="UN4" s="298"/>
      <c r="UO4" s="299"/>
      <c r="UP4" s="297"/>
      <c r="UQ4" s="297"/>
      <c r="UR4" s="299"/>
      <c r="US4" s="299"/>
      <c r="UT4" s="297"/>
      <c r="UU4" s="297"/>
      <c r="UV4" s="299"/>
      <c r="UW4" s="299"/>
      <c r="UX4" s="297"/>
      <c r="UY4" s="297"/>
      <c r="UZ4" s="297"/>
      <c r="VA4" s="16"/>
      <c r="VB4" s="16"/>
      <c r="VC4" s="16"/>
      <c r="VD4" s="16"/>
      <c r="VF4" s="297"/>
      <c r="VG4" s="298"/>
      <c r="VH4" s="298"/>
      <c r="VI4" s="297"/>
      <c r="VJ4" s="297"/>
      <c r="VK4" s="297"/>
      <c r="VL4" s="298"/>
      <c r="VM4" s="299"/>
      <c r="VN4" s="297"/>
      <c r="VO4" s="297"/>
      <c r="VP4" s="299"/>
      <c r="VQ4" s="299"/>
      <c r="VR4" s="297"/>
      <c r="VS4" s="297"/>
      <c r="VT4" s="299"/>
      <c r="VU4" s="299"/>
      <c r="VV4" s="297"/>
      <c r="VW4" s="297"/>
      <c r="VX4" s="297"/>
      <c r="VY4" s="16"/>
      <c r="VZ4" s="16"/>
      <c r="WA4" s="16"/>
      <c r="WB4" s="16"/>
      <c r="WD4" s="297"/>
      <c r="WE4" s="298"/>
      <c r="WF4" s="298"/>
      <c r="WG4" s="297"/>
      <c r="WH4" s="297"/>
      <c r="WI4" s="297"/>
      <c r="WJ4" s="298"/>
      <c r="WK4" s="299"/>
      <c r="WL4" s="297"/>
      <c r="WM4" s="297"/>
      <c r="WN4" s="299"/>
      <c r="WO4" s="299"/>
      <c r="WP4" s="297"/>
      <c r="WQ4" s="297"/>
      <c r="WR4" s="299"/>
      <c r="WS4" s="299"/>
      <c r="WT4" s="297"/>
      <c r="WU4" s="297"/>
      <c r="WV4" s="297"/>
      <c r="WW4" s="16"/>
      <c r="WX4" s="16"/>
      <c r="WY4" s="16"/>
      <c r="WZ4" s="16"/>
      <c r="XB4" s="297"/>
      <c r="XC4" s="298"/>
      <c r="XD4" s="298"/>
      <c r="XE4" s="297"/>
      <c r="XF4" s="297"/>
      <c r="XG4" s="297"/>
      <c r="XH4" s="298"/>
      <c r="XI4" s="299"/>
      <c r="XJ4" s="297"/>
      <c r="XK4" s="297"/>
      <c r="XL4" s="299"/>
      <c r="XM4" s="299"/>
      <c r="XN4" s="297"/>
      <c r="XO4" s="297"/>
      <c r="XP4" s="299"/>
      <c r="XQ4" s="299"/>
      <c r="XR4" s="297"/>
      <c r="XS4" s="297"/>
      <c r="XT4" s="297"/>
      <c r="XU4" s="16"/>
      <c r="XV4" s="16"/>
      <c r="XW4" s="16"/>
      <c r="XX4" s="16"/>
      <c r="XZ4" s="297"/>
      <c r="YA4" s="298"/>
      <c r="YB4" s="298"/>
      <c r="YC4" s="297"/>
      <c r="YD4" s="297"/>
      <c r="YE4" s="297"/>
      <c r="YF4" s="298"/>
      <c r="YG4" s="299"/>
      <c r="YH4" s="297"/>
      <c r="YI4" s="297"/>
      <c r="YJ4" s="299"/>
      <c r="YK4" s="299"/>
      <c r="YL4" s="297"/>
      <c r="YM4" s="297"/>
      <c r="YN4" s="299"/>
      <c r="YO4" s="299"/>
      <c r="YP4" s="297"/>
      <c r="YQ4" s="297"/>
      <c r="YR4" s="297"/>
      <c r="YS4" s="16"/>
      <c r="YT4" s="16"/>
      <c r="YU4" s="16"/>
      <c r="YV4" s="16"/>
      <c r="YX4" s="297"/>
      <c r="YY4" s="298"/>
      <c r="YZ4" s="298"/>
      <c r="ZA4" s="297"/>
      <c r="ZB4" s="297"/>
      <c r="ZC4" s="297"/>
      <c r="ZD4" s="298"/>
      <c r="ZE4" s="299"/>
      <c r="ZF4" s="297"/>
      <c r="ZG4" s="297"/>
      <c r="ZH4" s="299"/>
      <c r="ZI4" s="299"/>
      <c r="ZJ4" s="297"/>
      <c r="ZK4" s="297"/>
      <c r="ZL4" s="299"/>
      <c r="ZM4" s="299"/>
      <c r="ZN4" s="297"/>
      <c r="ZO4" s="297"/>
      <c r="ZP4" s="297"/>
      <c r="ZQ4" s="16"/>
      <c r="ZR4" s="16"/>
      <c r="ZS4" s="16"/>
      <c r="ZT4" s="16"/>
      <c r="ZV4" s="297"/>
      <c r="ZW4" s="298"/>
      <c r="ZX4" s="298"/>
      <c r="ZY4" s="297"/>
      <c r="ZZ4" s="297"/>
      <c r="AAA4" s="297"/>
      <c r="AAB4" s="298"/>
      <c r="AAC4" s="299"/>
      <c r="AAD4" s="297"/>
      <c r="AAE4" s="297"/>
      <c r="AAF4" s="299"/>
      <c r="AAG4" s="299"/>
      <c r="AAH4" s="297"/>
      <c r="AAI4" s="297"/>
      <c r="AAJ4" s="299"/>
      <c r="AAK4" s="299"/>
      <c r="AAL4" s="297"/>
      <c r="AAM4" s="297"/>
      <c r="AAN4" s="297"/>
      <c r="AAO4" s="16"/>
      <c r="AAP4" s="16"/>
      <c r="AAQ4" s="16"/>
      <c r="AAR4" s="16"/>
      <c r="AAT4" s="297"/>
      <c r="AAU4" s="298"/>
      <c r="AAV4" s="298"/>
      <c r="AAW4" s="297"/>
      <c r="AAX4" s="297"/>
      <c r="AAY4" s="297"/>
      <c r="AAZ4" s="298"/>
      <c r="ABA4" s="299"/>
      <c r="ABB4" s="297"/>
      <c r="ABC4" s="297"/>
      <c r="ABD4" s="299"/>
      <c r="ABE4" s="299"/>
      <c r="ABF4" s="297"/>
      <c r="ABG4" s="297"/>
      <c r="ABH4" s="299"/>
      <c r="ABI4" s="299"/>
      <c r="ABJ4" s="297"/>
      <c r="ABK4" s="297"/>
      <c r="ABL4" s="297"/>
      <c r="ABM4" s="16"/>
      <c r="ABN4" s="16"/>
      <c r="ABO4" s="16"/>
      <c r="ABP4" s="16"/>
      <c r="ABR4" s="297"/>
      <c r="ABS4" s="298"/>
      <c r="ABT4" s="298"/>
      <c r="ABU4" s="297"/>
      <c r="ABV4" s="297"/>
      <c r="ABW4" s="297"/>
      <c r="ABX4" s="298"/>
      <c r="ABY4" s="299"/>
      <c r="ABZ4" s="297"/>
      <c r="ACA4" s="297"/>
      <c r="ACB4" s="299"/>
      <c r="ACC4" s="299"/>
      <c r="ACD4" s="297"/>
      <c r="ACE4" s="297"/>
      <c r="ACF4" s="299"/>
      <c r="ACG4" s="299"/>
      <c r="ACH4" s="297"/>
      <c r="ACI4" s="297"/>
      <c r="ACJ4" s="297"/>
      <c r="ACK4" s="16"/>
      <c r="ACL4" s="16"/>
      <c r="ACM4" s="16"/>
      <c r="ACN4" s="16"/>
      <c r="ACP4" s="297"/>
      <c r="ACQ4" s="298"/>
      <c r="ACR4" s="298"/>
      <c r="ACS4" s="297"/>
      <c r="ACT4" s="297"/>
      <c r="ACU4" s="297"/>
      <c r="ACV4" s="298"/>
      <c r="ACW4" s="299"/>
      <c r="ACX4" s="297"/>
      <c r="ACY4" s="297"/>
      <c r="ACZ4" s="299"/>
      <c r="ADA4" s="299"/>
      <c r="ADB4" s="297"/>
      <c r="ADC4" s="297"/>
      <c r="ADD4" s="299"/>
      <c r="ADE4" s="299"/>
      <c r="ADF4" s="297"/>
      <c r="ADG4" s="297"/>
      <c r="ADH4" s="297"/>
      <c r="ADI4" s="16"/>
      <c r="ADJ4" s="16"/>
      <c r="ADK4" s="16"/>
      <c r="ADL4" s="16"/>
      <c r="ADN4" s="297"/>
      <c r="ADO4" s="298"/>
      <c r="ADP4" s="298"/>
      <c r="ADQ4" s="297"/>
      <c r="ADR4" s="297"/>
      <c r="ADS4" s="297"/>
      <c r="ADT4" s="298"/>
      <c r="ADU4" s="299"/>
      <c r="ADV4" s="297"/>
      <c r="ADW4" s="297"/>
      <c r="ADX4" s="299"/>
      <c r="ADY4" s="299"/>
      <c r="ADZ4" s="297"/>
      <c r="AEA4" s="297"/>
      <c r="AEB4" s="299"/>
      <c r="AEC4" s="299"/>
      <c r="AED4" s="297"/>
      <c r="AEE4" s="297"/>
      <c r="AEF4" s="297"/>
      <c r="AEG4" s="16"/>
      <c r="AEH4" s="16"/>
      <c r="AEI4" s="16"/>
      <c r="AEJ4" s="16"/>
      <c r="AEL4" s="297"/>
      <c r="AEM4" s="298"/>
      <c r="AEN4" s="298"/>
      <c r="AEO4" s="297"/>
      <c r="AEP4" s="297"/>
      <c r="AEQ4" s="297"/>
      <c r="AER4" s="298"/>
      <c r="AES4" s="299"/>
      <c r="AET4" s="297"/>
      <c r="AEU4" s="297"/>
      <c r="AEV4" s="299"/>
      <c r="AEW4" s="299"/>
      <c r="AEX4" s="297"/>
      <c r="AEY4" s="297"/>
      <c r="AEZ4" s="299"/>
      <c r="AFA4" s="299"/>
      <c r="AFB4" s="297"/>
      <c r="AFC4" s="297"/>
      <c r="AFD4" s="297"/>
      <c r="AFE4" s="16"/>
      <c r="AFF4" s="16"/>
      <c r="AFG4" s="16"/>
      <c r="AFH4" s="16"/>
      <c r="AFJ4" s="297"/>
      <c r="AFK4" s="298"/>
      <c r="AFL4" s="298"/>
      <c r="AFM4" s="297"/>
      <c r="AFN4" s="297"/>
      <c r="AFO4" s="297"/>
      <c r="AFP4" s="298"/>
      <c r="AFQ4" s="299"/>
      <c r="AFR4" s="297"/>
      <c r="AFS4" s="297"/>
      <c r="AFT4" s="299"/>
      <c r="AFU4" s="299"/>
      <c r="AFV4" s="297"/>
      <c r="AFW4" s="297"/>
      <c r="AFX4" s="299"/>
      <c r="AFY4" s="299"/>
      <c r="AFZ4" s="297"/>
      <c r="AGA4" s="297"/>
      <c r="AGB4" s="297"/>
      <c r="AGC4" s="16"/>
      <c r="AGD4" s="16"/>
      <c r="AGE4" s="16"/>
      <c r="AGF4" s="16"/>
      <c r="AGH4" s="297"/>
      <c r="AGI4" s="298"/>
      <c r="AGJ4" s="298"/>
      <c r="AGK4" s="297"/>
      <c r="AGL4" s="297"/>
      <c r="AGM4" s="297"/>
      <c r="AGN4" s="298"/>
      <c r="AGO4" s="299"/>
      <c r="AGP4" s="297"/>
      <c r="AGQ4" s="297"/>
      <c r="AGR4" s="299"/>
      <c r="AGS4" s="299"/>
      <c r="AGT4" s="297"/>
      <c r="AGU4" s="297"/>
      <c r="AGV4" s="299"/>
      <c r="AGW4" s="299"/>
      <c r="AGX4" s="297"/>
      <c r="AGY4" s="297"/>
      <c r="AGZ4" s="297"/>
      <c r="AHA4" s="16"/>
      <c r="AHB4" s="16"/>
      <c r="AHC4" s="16"/>
      <c r="AHD4" s="16"/>
      <c r="AHF4" s="297"/>
      <c r="AHG4" s="298"/>
      <c r="AHH4" s="298"/>
      <c r="AHI4" s="297"/>
      <c r="AHJ4" s="297"/>
      <c r="AHK4" s="297"/>
      <c r="AHL4" s="298"/>
      <c r="AHM4" s="299"/>
      <c r="AHN4" s="297"/>
      <c r="AHO4" s="297"/>
      <c r="AHP4" s="299"/>
      <c r="AHQ4" s="299"/>
      <c r="AHR4" s="297"/>
      <c r="AHS4" s="297"/>
      <c r="AHT4" s="299"/>
      <c r="AHU4" s="299"/>
      <c r="AHV4" s="297"/>
      <c r="AHW4" s="297"/>
      <c r="AHX4" s="297"/>
      <c r="AHY4" s="16"/>
      <c r="AHZ4" s="16"/>
      <c r="AIA4" s="16"/>
      <c r="AIB4" s="16"/>
      <c r="AID4" s="297"/>
      <c r="AIE4" s="298"/>
      <c r="AIF4" s="298"/>
      <c r="AIG4" s="297"/>
      <c r="AIH4" s="297"/>
      <c r="AII4" s="297"/>
      <c r="AIJ4" s="298"/>
      <c r="AIK4" s="299"/>
      <c r="AIL4" s="297"/>
      <c r="AIM4" s="297"/>
      <c r="AIN4" s="299"/>
      <c r="AIO4" s="299"/>
      <c r="AIP4" s="297"/>
      <c r="AIQ4" s="297"/>
      <c r="AIR4" s="299"/>
      <c r="AIS4" s="299"/>
      <c r="AIT4" s="297"/>
      <c r="AIU4" s="297"/>
      <c r="AIV4" s="297"/>
      <c r="AIW4" s="16"/>
      <c r="AIX4" s="16"/>
      <c r="AIY4" s="16"/>
      <c r="AIZ4" s="16"/>
      <c r="AJB4" s="297"/>
      <c r="AJC4" s="298"/>
      <c r="AJD4" s="298"/>
      <c r="AJE4" s="297"/>
      <c r="AJF4" s="297"/>
      <c r="AJG4" s="297"/>
      <c r="AJH4" s="298"/>
      <c r="AJI4" s="299"/>
      <c r="AJJ4" s="297"/>
      <c r="AJK4" s="297"/>
      <c r="AJL4" s="299"/>
      <c r="AJM4" s="299"/>
      <c r="AJN4" s="297"/>
      <c r="AJO4" s="297"/>
      <c r="AJP4" s="299"/>
      <c r="AJQ4" s="299"/>
      <c r="AJR4" s="297"/>
      <c r="AJS4" s="297"/>
      <c r="AJT4" s="297"/>
      <c r="AJU4" s="16"/>
      <c r="AJV4" s="16"/>
      <c r="AJW4" s="16"/>
      <c r="AJX4" s="16"/>
      <c r="AJZ4" s="297"/>
      <c r="AKA4" s="298"/>
      <c r="AKB4" s="298"/>
      <c r="AKC4" s="297"/>
      <c r="AKD4" s="297"/>
      <c r="AKE4" s="297"/>
      <c r="AKF4" s="298"/>
      <c r="AKG4" s="299"/>
      <c r="AKH4" s="297"/>
      <c r="AKI4" s="297"/>
      <c r="AKJ4" s="299"/>
      <c r="AKK4" s="299"/>
      <c r="AKL4" s="297"/>
      <c r="AKM4" s="297"/>
      <c r="AKN4" s="299"/>
      <c r="AKO4" s="299"/>
      <c r="AKP4" s="297"/>
      <c r="AKQ4" s="297"/>
      <c r="AKR4" s="297"/>
      <c r="AKS4" s="16"/>
      <c r="AKT4" s="16"/>
      <c r="AKU4" s="16"/>
      <c r="AKV4" s="16"/>
      <c r="AKX4" s="297"/>
      <c r="AKY4" s="298"/>
      <c r="AKZ4" s="298"/>
      <c r="ALA4" s="297"/>
      <c r="ALB4" s="297"/>
      <c r="ALC4" s="297"/>
      <c r="ALD4" s="298"/>
      <c r="ALE4" s="299"/>
      <c r="ALF4" s="297"/>
      <c r="ALG4" s="297"/>
      <c r="ALH4" s="299"/>
      <c r="ALI4" s="299"/>
      <c r="ALJ4" s="297"/>
      <c r="ALK4" s="297"/>
      <c r="ALL4" s="299"/>
      <c r="ALM4" s="299"/>
      <c r="ALN4" s="297"/>
      <c r="ALO4" s="297"/>
      <c r="ALP4" s="297"/>
      <c r="ALQ4" s="16"/>
      <c r="ALR4" s="16"/>
      <c r="ALS4" s="16"/>
      <c r="ALT4" s="16"/>
      <c r="ALV4" s="297"/>
      <c r="ALW4" s="298"/>
      <c r="ALX4" s="298"/>
      <c r="ALY4" s="297"/>
      <c r="ALZ4" s="297"/>
      <c r="AMA4" s="297"/>
      <c r="AMB4" s="298"/>
      <c r="AMC4" s="299"/>
      <c r="AMD4" s="297"/>
      <c r="AME4" s="297"/>
      <c r="AMF4" s="299"/>
      <c r="AMG4" s="299"/>
      <c r="AMH4" s="297"/>
      <c r="AMI4" s="297"/>
      <c r="AMJ4" s="299"/>
      <c r="AMK4" s="299"/>
      <c r="AML4" s="297"/>
      <c r="AMM4" s="297"/>
      <c r="AMN4" s="297"/>
      <c r="AMO4" s="16"/>
      <c r="AMP4" s="16"/>
      <c r="AMQ4" s="16"/>
      <c r="AMR4" s="16"/>
      <c r="AMT4" s="297"/>
      <c r="AMU4" s="298"/>
      <c r="AMV4" s="298"/>
      <c r="AMW4" s="297"/>
      <c r="AMX4" s="297"/>
      <c r="AMY4" s="297"/>
      <c r="AMZ4" s="298"/>
      <c r="ANA4" s="299"/>
      <c r="ANB4" s="297"/>
      <c r="ANC4" s="297"/>
      <c r="AND4" s="299"/>
      <c r="ANE4" s="299"/>
      <c r="ANF4" s="297"/>
      <c r="ANG4" s="297"/>
      <c r="ANH4" s="299"/>
      <c r="ANI4" s="299"/>
      <c r="ANJ4" s="297"/>
      <c r="ANK4" s="297"/>
      <c r="ANL4" s="297"/>
      <c r="ANM4" s="16"/>
      <c r="ANN4" s="16"/>
      <c r="ANO4" s="16"/>
      <c r="ANP4" s="16"/>
      <c r="ANR4" s="297"/>
      <c r="ANS4" s="298"/>
      <c r="ANT4" s="298"/>
      <c r="ANU4" s="297"/>
      <c r="ANV4" s="297"/>
      <c r="ANW4" s="297"/>
      <c r="ANX4" s="298"/>
      <c r="ANY4" s="299"/>
      <c r="ANZ4" s="297"/>
      <c r="AOA4" s="297"/>
      <c r="AOB4" s="299"/>
      <c r="AOC4" s="299"/>
      <c r="AOD4" s="297"/>
      <c r="AOE4" s="297"/>
      <c r="AOF4" s="299"/>
      <c r="AOG4" s="299"/>
      <c r="AOH4" s="297"/>
      <c r="AOI4" s="297"/>
      <c r="AOJ4" s="297"/>
      <c r="AOK4" s="16"/>
      <c r="AOL4" s="16"/>
      <c r="AOM4" s="16"/>
      <c r="AON4" s="16"/>
      <c r="AOP4" s="297"/>
      <c r="AOQ4" s="298"/>
      <c r="AOR4" s="298"/>
      <c r="AOS4" s="297"/>
      <c r="AOT4" s="297"/>
      <c r="AOU4" s="297"/>
      <c r="AOV4" s="298"/>
      <c r="AOW4" s="299"/>
      <c r="AOX4" s="297"/>
      <c r="AOY4" s="297"/>
      <c r="AOZ4" s="299"/>
      <c r="APA4" s="299"/>
      <c r="APB4" s="297"/>
      <c r="APC4" s="297"/>
      <c r="APD4" s="299"/>
      <c r="APE4" s="299"/>
      <c r="APF4" s="297"/>
      <c r="APG4" s="297"/>
      <c r="APH4" s="297"/>
      <c r="API4" s="16"/>
      <c r="APJ4" s="16"/>
      <c r="APK4" s="16"/>
      <c r="APL4" s="16"/>
      <c r="APN4" s="297"/>
      <c r="APO4" s="298"/>
      <c r="APP4" s="298"/>
      <c r="APQ4" s="297"/>
      <c r="APR4" s="297"/>
      <c r="APS4" s="297"/>
      <c r="APT4" s="298"/>
      <c r="APU4" s="299"/>
      <c r="APV4" s="297"/>
      <c r="APW4" s="297"/>
      <c r="APX4" s="299"/>
      <c r="APY4" s="299"/>
      <c r="APZ4" s="297"/>
      <c r="AQA4" s="297"/>
      <c r="AQB4" s="299"/>
      <c r="AQC4" s="299"/>
      <c r="AQD4" s="297"/>
      <c r="AQE4" s="297"/>
      <c r="AQF4" s="297"/>
      <c r="AQG4" s="16"/>
      <c r="AQH4" s="16"/>
      <c r="AQI4" s="16"/>
      <c r="AQJ4" s="16"/>
      <c r="AQL4" s="297"/>
      <c r="AQM4" s="298"/>
      <c r="AQN4" s="298"/>
      <c r="AQO4" s="297"/>
      <c r="AQP4" s="297"/>
      <c r="AQQ4" s="297"/>
      <c r="AQR4" s="298"/>
      <c r="AQS4" s="299"/>
      <c r="AQT4" s="297"/>
      <c r="AQU4" s="297"/>
      <c r="AQV4" s="299"/>
      <c r="AQW4" s="299"/>
      <c r="AQX4" s="297"/>
      <c r="AQY4" s="297"/>
      <c r="AQZ4" s="299"/>
      <c r="ARA4" s="299"/>
      <c r="ARB4" s="297"/>
      <c r="ARC4" s="297"/>
      <c r="ARD4" s="297"/>
      <c r="ARE4" s="16"/>
      <c r="ARF4" s="16"/>
      <c r="ARG4" s="16"/>
      <c r="ARH4" s="16"/>
      <c r="ARJ4" s="297"/>
      <c r="ARK4" s="298"/>
      <c r="ARL4" s="298"/>
      <c r="ARM4" s="297"/>
      <c r="ARN4" s="297"/>
      <c r="ARO4" s="297"/>
      <c r="ARP4" s="298"/>
      <c r="ARQ4" s="299"/>
      <c r="ARR4" s="297"/>
      <c r="ARS4" s="297"/>
      <c r="ART4" s="299"/>
      <c r="ARU4" s="299"/>
      <c r="ARV4" s="297"/>
      <c r="ARW4" s="297"/>
      <c r="ARX4" s="299"/>
      <c r="ARY4" s="299"/>
      <c r="ARZ4" s="297"/>
      <c r="ASA4" s="297"/>
      <c r="ASB4" s="297"/>
      <c r="ASC4" s="16"/>
      <c r="ASD4" s="16"/>
      <c r="ASE4" s="16"/>
      <c r="ASF4" s="16"/>
      <c r="ASH4" s="297"/>
      <c r="ASI4" s="298"/>
      <c r="ASJ4" s="298"/>
      <c r="ASK4" s="297"/>
      <c r="ASL4" s="297"/>
      <c r="ASM4" s="297"/>
      <c r="ASN4" s="298"/>
      <c r="ASO4" s="299"/>
      <c r="ASP4" s="297"/>
      <c r="ASQ4" s="297"/>
      <c r="ASR4" s="299"/>
      <c r="ASS4" s="299"/>
      <c r="AST4" s="297"/>
      <c r="ASU4" s="297"/>
      <c r="ASV4" s="299"/>
      <c r="ASW4" s="299"/>
      <c r="ASX4" s="297"/>
      <c r="ASY4" s="297"/>
      <c r="ASZ4" s="297"/>
      <c r="ATA4" s="16"/>
      <c r="ATB4" s="16"/>
      <c r="ATC4" s="16"/>
      <c r="ATD4" s="16"/>
      <c r="ATF4" s="297"/>
      <c r="ATG4" s="298"/>
      <c r="ATH4" s="298"/>
      <c r="ATI4" s="297"/>
      <c r="ATJ4" s="297"/>
      <c r="ATK4" s="297"/>
      <c r="ATL4" s="298"/>
      <c r="ATM4" s="299"/>
      <c r="ATN4" s="297"/>
      <c r="ATO4" s="297"/>
      <c r="ATP4" s="299"/>
      <c r="ATQ4" s="299"/>
      <c r="ATR4" s="297"/>
      <c r="ATS4" s="297"/>
      <c r="ATT4" s="299"/>
      <c r="ATU4" s="299"/>
      <c r="ATV4" s="297"/>
      <c r="ATW4" s="297"/>
      <c r="ATX4" s="297"/>
      <c r="ATY4" s="16"/>
      <c r="ATZ4" s="16"/>
      <c r="AUA4" s="16"/>
      <c r="AUB4" s="16"/>
      <c r="AUD4" s="297"/>
      <c r="AUE4" s="298"/>
      <c r="AUF4" s="298"/>
      <c r="AUG4" s="297"/>
      <c r="AUH4" s="297"/>
      <c r="AUI4" s="297"/>
      <c r="AUJ4" s="298"/>
      <c r="AUK4" s="299"/>
      <c r="AUL4" s="297"/>
      <c r="AUM4" s="297"/>
      <c r="AUN4" s="299"/>
      <c r="AUO4" s="299"/>
      <c r="AUP4" s="297"/>
      <c r="AUQ4" s="297"/>
      <c r="AUR4" s="299"/>
      <c r="AUS4" s="299"/>
      <c r="AUT4" s="297"/>
      <c r="AUU4" s="297"/>
      <c r="AUV4" s="297"/>
      <c r="AUW4" s="16"/>
      <c r="AUX4" s="16"/>
      <c r="AUY4" s="16"/>
      <c r="AUZ4" s="16"/>
      <c r="AVB4" s="297"/>
      <c r="AVC4" s="298"/>
      <c r="AVD4" s="298"/>
      <c r="AVE4" s="297"/>
      <c r="AVF4" s="297"/>
      <c r="AVG4" s="297"/>
      <c r="AVH4" s="298"/>
      <c r="AVI4" s="299"/>
      <c r="AVJ4" s="297"/>
      <c r="AVK4" s="297"/>
      <c r="AVL4" s="299"/>
      <c r="AVM4" s="299"/>
      <c r="AVN4" s="297"/>
      <c r="AVO4" s="297"/>
      <c r="AVP4" s="299"/>
      <c r="AVQ4" s="299"/>
      <c r="AVR4" s="297"/>
      <c r="AVS4" s="297"/>
      <c r="AVT4" s="297"/>
      <c r="AVU4" s="16"/>
      <c r="AVV4" s="16"/>
      <c r="AVW4" s="16"/>
      <c r="AVX4" s="16"/>
      <c r="AVZ4" s="297"/>
      <c r="AWA4" s="298"/>
      <c r="AWB4" s="298"/>
      <c r="AWC4" s="297"/>
      <c r="AWD4" s="297"/>
      <c r="AWE4" s="297"/>
      <c r="AWF4" s="298"/>
      <c r="AWG4" s="299"/>
      <c r="AWH4" s="297"/>
      <c r="AWI4" s="297"/>
      <c r="AWJ4" s="299"/>
      <c r="AWK4" s="299"/>
      <c r="AWL4" s="297"/>
      <c r="AWM4" s="297"/>
      <c r="AWN4" s="299"/>
      <c r="AWO4" s="299"/>
      <c r="AWP4" s="297"/>
      <c r="AWQ4" s="297"/>
      <c r="AWR4" s="297"/>
      <c r="AWS4" s="16"/>
      <c r="AWT4" s="16"/>
      <c r="AWU4" s="16"/>
      <c r="AWV4" s="16"/>
      <c r="AWX4" s="297"/>
      <c r="AWY4" s="298"/>
      <c r="AWZ4" s="298"/>
      <c r="AXA4" s="297"/>
      <c r="AXB4" s="297"/>
      <c r="AXC4" s="297"/>
      <c r="AXD4" s="298"/>
      <c r="AXE4" s="299"/>
      <c r="AXF4" s="297"/>
      <c r="AXG4" s="297"/>
      <c r="AXH4" s="299"/>
      <c r="AXI4" s="299"/>
      <c r="AXJ4" s="297"/>
      <c r="AXK4" s="297"/>
      <c r="AXL4" s="299"/>
      <c r="AXM4" s="299"/>
      <c r="AXN4" s="297"/>
      <c r="AXO4" s="297"/>
      <c r="AXP4" s="297"/>
      <c r="AXQ4" s="16"/>
      <c r="AXR4" s="16"/>
      <c r="AXS4" s="16"/>
      <c r="AXT4" s="16"/>
      <c r="AXV4" s="297"/>
      <c r="AXW4" s="298"/>
      <c r="AXX4" s="298"/>
      <c r="AXY4" s="297"/>
      <c r="AXZ4" s="297"/>
      <c r="AYA4" s="297"/>
      <c r="AYB4" s="298"/>
      <c r="AYC4" s="299"/>
      <c r="AYD4" s="297"/>
      <c r="AYE4" s="297"/>
      <c r="AYF4" s="299"/>
      <c r="AYG4" s="299"/>
      <c r="AYH4" s="297"/>
      <c r="AYI4" s="297"/>
      <c r="AYJ4" s="299"/>
      <c r="AYK4" s="299"/>
      <c r="AYL4" s="297"/>
      <c r="AYM4" s="297"/>
      <c r="AYN4" s="297"/>
      <c r="AYO4" s="16"/>
      <c r="AYP4" s="16"/>
      <c r="AYQ4" s="16"/>
      <c r="AYR4" s="16"/>
      <c r="AYT4" s="297"/>
      <c r="AYU4" s="298"/>
      <c r="AYV4" s="298"/>
      <c r="AYW4" s="297"/>
      <c r="AYX4" s="297"/>
      <c r="AYY4" s="297"/>
      <c r="AYZ4" s="298"/>
      <c r="AZA4" s="299"/>
      <c r="AZB4" s="297"/>
      <c r="AZC4" s="297"/>
      <c r="AZD4" s="299"/>
      <c r="AZE4" s="299"/>
      <c r="AZF4" s="297"/>
      <c r="AZG4" s="297"/>
      <c r="AZH4" s="299"/>
      <c r="AZI4" s="299"/>
      <c r="AZJ4" s="297"/>
      <c r="AZK4" s="297"/>
      <c r="AZL4" s="297"/>
      <c r="AZM4" s="16"/>
      <c r="AZN4" s="16"/>
      <c r="AZO4" s="16"/>
      <c r="AZP4" s="16"/>
      <c r="AZR4" s="297"/>
      <c r="AZS4" s="298"/>
      <c r="AZT4" s="298"/>
      <c r="AZU4" s="297"/>
      <c r="AZV4" s="297"/>
      <c r="AZW4" s="297"/>
      <c r="AZX4" s="298"/>
      <c r="AZY4" s="299"/>
      <c r="AZZ4" s="297"/>
      <c r="BAA4" s="297"/>
      <c r="BAB4" s="299"/>
      <c r="BAC4" s="299"/>
      <c r="BAD4" s="297"/>
      <c r="BAE4" s="297"/>
      <c r="BAF4" s="299"/>
      <c r="BAG4" s="299"/>
      <c r="BAH4" s="297"/>
      <c r="BAI4" s="297"/>
      <c r="BAJ4" s="297"/>
      <c r="BAK4" s="16"/>
      <c r="BAL4" s="16"/>
      <c r="BAM4" s="16"/>
      <c r="BAN4" s="16"/>
      <c r="BAP4" s="297"/>
      <c r="BAQ4" s="298"/>
      <c r="BAR4" s="298"/>
      <c r="BAS4" s="297"/>
      <c r="BAT4" s="297"/>
      <c r="BAU4" s="297"/>
      <c r="BAV4" s="298"/>
      <c r="BAW4" s="299"/>
      <c r="BAX4" s="297"/>
      <c r="BAY4" s="297"/>
      <c r="BAZ4" s="299"/>
      <c r="BBA4" s="299"/>
      <c r="BBB4" s="297"/>
      <c r="BBC4" s="297"/>
      <c r="BBD4" s="299"/>
      <c r="BBE4" s="299"/>
      <c r="BBF4" s="297"/>
      <c r="BBG4" s="297"/>
      <c r="BBH4" s="297"/>
      <c r="BBI4" s="16"/>
      <c r="BBJ4" s="16"/>
      <c r="BBK4" s="16"/>
      <c r="BBL4" s="16"/>
      <c r="BBN4" s="297"/>
      <c r="BBO4" s="298"/>
      <c r="BBP4" s="298"/>
      <c r="BBQ4" s="297"/>
      <c r="BBR4" s="297"/>
      <c r="BBS4" s="297"/>
      <c r="BBT4" s="298"/>
      <c r="BBU4" s="299"/>
      <c r="BBV4" s="297"/>
      <c r="BBW4" s="297"/>
      <c r="BBX4" s="299"/>
      <c r="BBY4" s="299"/>
      <c r="BBZ4" s="297"/>
      <c r="BCA4" s="297"/>
      <c r="BCB4" s="299"/>
      <c r="BCC4" s="299"/>
      <c r="BCD4" s="297"/>
      <c r="BCE4" s="297"/>
      <c r="BCF4" s="297"/>
      <c r="BCG4" s="16"/>
      <c r="BCH4" s="16"/>
      <c r="BCI4" s="16"/>
      <c r="BCJ4" s="16"/>
      <c r="BCL4" s="297"/>
      <c r="BCM4" s="298"/>
      <c r="BCN4" s="298"/>
      <c r="BCO4" s="297"/>
      <c r="BCP4" s="297"/>
      <c r="BCQ4" s="297"/>
      <c r="BCR4" s="298"/>
      <c r="BCS4" s="299"/>
      <c r="BCT4" s="297"/>
      <c r="BCU4" s="297"/>
      <c r="BCV4" s="299"/>
      <c r="BCW4" s="299"/>
      <c r="BCX4" s="297"/>
      <c r="BCY4" s="297"/>
      <c r="BCZ4" s="299"/>
      <c r="BDA4" s="299"/>
      <c r="BDB4" s="297"/>
      <c r="BDC4" s="297"/>
      <c r="BDD4" s="297"/>
      <c r="BDE4" s="16"/>
      <c r="BDF4" s="16"/>
      <c r="BDG4" s="16"/>
      <c r="BDH4" s="16"/>
      <c r="BDJ4" s="297"/>
      <c r="BDK4" s="298"/>
      <c r="BDL4" s="298"/>
      <c r="BDM4" s="297"/>
      <c r="BDN4" s="297"/>
      <c r="BDO4" s="297"/>
      <c r="BDP4" s="298"/>
      <c r="BDQ4" s="299"/>
      <c r="BDR4" s="297"/>
      <c r="BDS4" s="297"/>
      <c r="BDT4" s="299"/>
      <c r="BDU4" s="299"/>
      <c r="BDV4" s="297"/>
      <c r="BDW4" s="297"/>
      <c r="BDX4" s="299"/>
      <c r="BDY4" s="299"/>
      <c r="BDZ4" s="297"/>
      <c r="BEA4" s="297"/>
      <c r="BEB4" s="297"/>
      <c r="BEC4" s="16"/>
      <c r="BED4" s="16"/>
      <c r="BEE4" s="16"/>
      <c r="BEF4" s="16"/>
      <c r="BEH4" s="297"/>
      <c r="BEI4" s="298"/>
      <c r="BEJ4" s="298"/>
      <c r="BEK4" s="297"/>
      <c r="BEL4" s="297"/>
      <c r="BEM4" s="297"/>
      <c r="BEN4" s="298"/>
      <c r="BEO4" s="299"/>
      <c r="BEP4" s="297"/>
      <c r="BEQ4" s="297"/>
      <c r="BER4" s="299"/>
      <c r="BES4" s="299"/>
      <c r="BET4" s="297"/>
      <c r="BEU4" s="297"/>
      <c r="BEV4" s="299"/>
      <c r="BEW4" s="299"/>
      <c r="BEX4" s="297"/>
      <c r="BEY4" s="297"/>
      <c r="BEZ4" s="297"/>
      <c r="BFA4" s="16"/>
      <c r="BFB4" s="16"/>
      <c r="BFC4" s="16"/>
      <c r="BFD4" s="16"/>
      <c r="BFF4" s="297"/>
      <c r="BFG4" s="298"/>
      <c r="BFH4" s="298"/>
      <c r="BFI4" s="297"/>
      <c r="BFJ4" s="297"/>
      <c r="BFK4" s="297"/>
      <c r="BFL4" s="298"/>
      <c r="BFM4" s="299"/>
      <c r="BFN4" s="297"/>
      <c r="BFO4" s="297"/>
      <c r="BFP4" s="299"/>
      <c r="BFQ4" s="299"/>
      <c r="BFR4" s="297"/>
      <c r="BFS4" s="297"/>
      <c r="BFT4" s="299"/>
      <c r="BFU4" s="299"/>
      <c r="BFV4" s="297"/>
      <c r="BFW4" s="297"/>
      <c r="BFX4" s="297"/>
      <c r="BFY4" s="16"/>
      <c r="BFZ4" s="16"/>
      <c r="BGA4" s="16"/>
      <c r="BGB4" s="16"/>
      <c r="BGD4" s="297"/>
      <c r="BGE4" s="298"/>
      <c r="BGF4" s="298"/>
      <c r="BGG4" s="297"/>
      <c r="BGH4" s="297"/>
      <c r="BGI4" s="297"/>
      <c r="BGJ4" s="298"/>
      <c r="BGK4" s="299"/>
      <c r="BGL4" s="297"/>
      <c r="BGM4" s="297"/>
      <c r="BGN4" s="299"/>
      <c r="BGO4" s="299"/>
      <c r="BGP4" s="297"/>
      <c r="BGQ4" s="297"/>
      <c r="BGR4" s="299"/>
      <c r="BGS4" s="299"/>
      <c r="BGT4" s="297"/>
      <c r="BGU4" s="297"/>
      <c r="BGV4" s="297"/>
      <c r="BGW4" s="16"/>
      <c r="BGX4" s="16"/>
      <c r="BGY4" s="16"/>
      <c r="BGZ4" s="16"/>
      <c r="BHB4" s="297"/>
      <c r="BHC4" s="298"/>
      <c r="BHD4" s="298"/>
      <c r="BHE4" s="297"/>
      <c r="BHF4" s="297"/>
      <c r="BHG4" s="297"/>
      <c r="BHH4" s="298"/>
      <c r="BHI4" s="299"/>
      <c r="BHJ4" s="297"/>
      <c r="BHK4" s="297"/>
      <c r="BHL4" s="299"/>
      <c r="BHM4" s="299"/>
      <c r="BHN4" s="297"/>
      <c r="BHO4" s="297"/>
      <c r="BHP4" s="299"/>
      <c r="BHQ4" s="299"/>
      <c r="BHR4" s="297"/>
      <c r="BHS4" s="297"/>
      <c r="BHT4" s="297"/>
      <c r="BHU4" s="16"/>
      <c r="BHV4" s="16"/>
      <c r="BHW4" s="16"/>
      <c r="BHX4" s="16"/>
      <c r="BHZ4" s="297"/>
      <c r="BIA4" s="298"/>
      <c r="BIB4" s="298"/>
      <c r="BIC4" s="297"/>
      <c r="BID4" s="297"/>
      <c r="BIE4" s="297"/>
      <c r="BIF4" s="298"/>
      <c r="BIG4" s="299"/>
      <c r="BIH4" s="297"/>
      <c r="BII4" s="297"/>
      <c r="BIJ4" s="299"/>
      <c r="BIK4" s="299"/>
      <c r="BIL4" s="297"/>
      <c r="BIM4" s="297"/>
      <c r="BIN4" s="299"/>
      <c r="BIO4" s="299"/>
      <c r="BIP4" s="297"/>
      <c r="BIQ4" s="297"/>
      <c r="BIR4" s="297"/>
      <c r="BIS4" s="16"/>
      <c r="BIT4" s="16"/>
      <c r="BIU4" s="16"/>
      <c r="BIV4" s="16"/>
      <c r="BIX4" s="297"/>
      <c r="BIY4" s="298"/>
      <c r="BIZ4" s="298"/>
      <c r="BJA4" s="297"/>
      <c r="BJB4" s="297"/>
      <c r="BJC4" s="297"/>
      <c r="BJD4" s="298"/>
      <c r="BJE4" s="299"/>
      <c r="BJF4" s="297"/>
      <c r="BJG4" s="297"/>
      <c r="BJH4" s="299"/>
      <c r="BJI4" s="299"/>
      <c r="BJJ4" s="297"/>
      <c r="BJK4" s="297"/>
      <c r="BJL4" s="299"/>
      <c r="BJM4" s="299"/>
      <c r="BJN4" s="297"/>
      <c r="BJO4" s="297"/>
      <c r="BJP4" s="297"/>
      <c r="BJQ4" s="16"/>
      <c r="BJR4" s="16"/>
      <c r="BJS4" s="16"/>
      <c r="BJT4" s="16"/>
      <c r="BJV4" s="297"/>
      <c r="BJW4" s="298"/>
      <c r="BJX4" s="298"/>
      <c r="BJY4" s="297"/>
      <c r="BJZ4" s="297"/>
      <c r="BKA4" s="297"/>
      <c r="BKB4" s="298"/>
      <c r="BKC4" s="299"/>
      <c r="BKD4" s="297"/>
      <c r="BKE4" s="297"/>
      <c r="BKF4" s="299"/>
      <c r="BKG4" s="299"/>
      <c r="BKH4" s="297"/>
      <c r="BKI4" s="297"/>
      <c r="BKJ4" s="299"/>
      <c r="BKK4" s="299"/>
      <c r="BKL4" s="297"/>
      <c r="BKM4" s="297"/>
      <c r="BKN4" s="297"/>
      <c r="BKO4" s="16"/>
      <c r="BKP4" s="16"/>
      <c r="BKQ4" s="16"/>
      <c r="BKR4" s="16"/>
      <c r="BKT4" s="297"/>
      <c r="BKU4" s="298"/>
      <c r="BKV4" s="298"/>
      <c r="BKW4" s="297"/>
      <c r="BKX4" s="297"/>
      <c r="BKY4" s="297"/>
      <c r="BKZ4" s="298"/>
      <c r="BLA4" s="299"/>
      <c r="BLB4" s="297"/>
      <c r="BLC4" s="297"/>
      <c r="BLD4" s="299"/>
      <c r="BLE4" s="299"/>
      <c r="BLF4" s="297"/>
      <c r="BLG4" s="297"/>
      <c r="BLH4" s="299"/>
      <c r="BLI4" s="299"/>
      <c r="BLJ4" s="297"/>
      <c r="BLK4" s="297"/>
      <c r="BLL4" s="297"/>
      <c r="BLM4" s="16"/>
      <c r="BLN4" s="16"/>
      <c r="BLO4" s="16"/>
      <c r="BLP4" s="16"/>
      <c r="BLR4" s="297"/>
      <c r="BLS4" s="298"/>
      <c r="BLT4" s="298"/>
      <c r="BLU4" s="297"/>
      <c r="BLV4" s="297"/>
      <c r="BLW4" s="297"/>
      <c r="BLX4" s="298"/>
      <c r="BLY4" s="299"/>
      <c r="BLZ4" s="297"/>
      <c r="BMA4" s="297"/>
      <c r="BMB4" s="299"/>
      <c r="BMC4" s="299"/>
      <c r="BMD4" s="297"/>
      <c r="BME4" s="297"/>
      <c r="BMF4" s="299"/>
      <c r="BMG4" s="299"/>
      <c r="BMH4" s="297"/>
      <c r="BMI4" s="297"/>
      <c r="BMJ4" s="297"/>
      <c r="BMK4" s="16"/>
      <c r="BML4" s="16"/>
      <c r="BMM4" s="16"/>
      <c r="BMN4" s="16"/>
      <c r="BMP4" s="297"/>
      <c r="BMQ4" s="298"/>
      <c r="BMR4" s="298"/>
      <c r="BMS4" s="297"/>
      <c r="BMT4" s="297"/>
      <c r="BMU4" s="297"/>
      <c r="BMV4" s="298"/>
      <c r="BMW4" s="299"/>
      <c r="BMX4" s="297"/>
      <c r="BMY4" s="297"/>
      <c r="BMZ4" s="299"/>
      <c r="BNA4" s="299"/>
      <c r="BNB4" s="297"/>
      <c r="BNC4" s="297"/>
      <c r="BND4" s="299"/>
      <c r="BNE4" s="299"/>
      <c r="BNF4" s="297"/>
      <c r="BNG4" s="297"/>
      <c r="BNH4" s="297"/>
      <c r="BNI4" s="16"/>
      <c r="BNJ4" s="16"/>
      <c r="BNK4" s="16"/>
      <c r="BNL4" s="16"/>
      <c r="BNN4" s="297"/>
      <c r="BNO4" s="298"/>
      <c r="BNP4" s="298"/>
      <c r="BNQ4" s="297"/>
      <c r="BNR4" s="297"/>
      <c r="BNS4" s="297"/>
      <c r="BNT4" s="298"/>
      <c r="BNU4" s="299"/>
      <c r="BNV4" s="297"/>
      <c r="BNW4" s="297"/>
      <c r="BNX4" s="299"/>
      <c r="BNY4" s="299"/>
      <c r="BNZ4" s="297"/>
      <c r="BOA4" s="297"/>
      <c r="BOB4" s="299"/>
      <c r="BOC4" s="299"/>
      <c r="BOD4" s="297"/>
      <c r="BOE4" s="297"/>
      <c r="BOF4" s="297"/>
      <c r="BOG4" s="16"/>
      <c r="BOH4" s="16"/>
      <c r="BOI4" s="16"/>
      <c r="BOJ4" s="16"/>
      <c r="BOL4" s="297"/>
      <c r="BOM4" s="298"/>
      <c r="BON4" s="298"/>
      <c r="BOO4" s="297"/>
      <c r="BOP4" s="297"/>
      <c r="BOQ4" s="297"/>
      <c r="BOR4" s="298"/>
      <c r="BOS4" s="299"/>
      <c r="BOT4" s="297"/>
      <c r="BOU4" s="297"/>
      <c r="BOV4" s="299"/>
      <c r="BOW4" s="299"/>
      <c r="BOX4" s="297"/>
      <c r="BOY4" s="297"/>
      <c r="BOZ4" s="299"/>
      <c r="BPA4" s="299"/>
      <c r="BPB4" s="297"/>
      <c r="BPC4" s="297"/>
      <c r="BPD4" s="297"/>
      <c r="BPE4" s="16"/>
      <c r="BPF4" s="16"/>
      <c r="BPG4" s="16"/>
      <c r="BPH4" s="16"/>
      <c r="BPJ4" s="297"/>
      <c r="BPK4" s="298"/>
      <c r="BPL4" s="298"/>
      <c r="BPM4" s="297"/>
      <c r="BPN4" s="297"/>
      <c r="BPO4" s="297"/>
      <c r="BPP4" s="298"/>
      <c r="BPQ4" s="299"/>
      <c r="BPR4" s="297"/>
      <c r="BPS4" s="297"/>
      <c r="BPT4" s="299"/>
      <c r="BPU4" s="299"/>
      <c r="BPV4" s="297"/>
      <c r="BPW4" s="297"/>
      <c r="BPX4" s="299"/>
      <c r="BPY4" s="299"/>
      <c r="BPZ4" s="297"/>
      <c r="BQA4" s="297"/>
      <c r="BQB4" s="297"/>
      <c r="BQC4" s="16"/>
      <c r="BQD4" s="16"/>
      <c r="BQE4" s="16"/>
      <c r="BQF4" s="16"/>
      <c r="BQH4" s="297"/>
      <c r="BQI4" s="298"/>
      <c r="BQJ4" s="298"/>
      <c r="BQK4" s="297"/>
      <c r="BQL4" s="297"/>
      <c r="BQM4" s="297"/>
      <c r="BQN4" s="298"/>
      <c r="BQO4" s="299"/>
      <c r="BQP4" s="297"/>
      <c r="BQQ4" s="297"/>
      <c r="BQR4" s="299"/>
      <c r="BQS4" s="299"/>
      <c r="BQT4" s="297"/>
      <c r="BQU4" s="297"/>
      <c r="BQV4" s="299"/>
      <c r="BQW4" s="299"/>
      <c r="BQX4" s="297"/>
      <c r="BQY4" s="297"/>
      <c r="BQZ4" s="297"/>
      <c r="BRA4" s="16"/>
      <c r="BRB4" s="16"/>
      <c r="BRC4" s="16"/>
      <c r="BRD4" s="16"/>
      <c r="BRF4" s="297"/>
      <c r="BRG4" s="298"/>
      <c r="BRH4" s="298"/>
      <c r="BRI4" s="297"/>
      <c r="BRJ4" s="297"/>
      <c r="BRK4" s="297"/>
      <c r="BRL4" s="298"/>
      <c r="BRM4" s="299"/>
      <c r="BRN4" s="297"/>
      <c r="BRO4" s="297"/>
      <c r="BRP4" s="299"/>
      <c r="BRQ4" s="299"/>
      <c r="BRR4" s="297"/>
      <c r="BRS4" s="297"/>
      <c r="BRT4" s="299"/>
      <c r="BRU4" s="299"/>
      <c r="BRV4" s="297"/>
      <c r="BRW4" s="297"/>
      <c r="BRX4" s="297"/>
      <c r="BRY4" s="16"/>
      <c r="BRZ4" s="16"/>
      <c r="BSA4" s="16"/>
      <c r="BSB4" s="16"/>
      <c r="BSD4" s="297"/>
      <c r="BSE4" s="298"/>
      <c r="BSF4" s="298"/>
      <c r="BSG4" s="297"/>
      <c r="BSH4" s="297"/>
      <c r="BSI4" s="297"/>
      <c r="BSJ4" s="298"/>
      <c r="BSK4" s="299"/>
      <c r="BSL4" s="297"/>
      <c r="BSM4" s="297"/>
      <c r="BSN4" s="299"/>
      <c r="BSO4" s="299"/>
      <c r="BSP4" s="297"/>
      <c r="BSQ4" s="297"/>
      <c r="BSR4" s="299"/>
      <c r="BSS4" s="299"/>
      <c r="BST4" s="297"/>
      <c r="BSU4" s="297"/>
      <c r="BSV4" s="297"/>
      <c r="BSW4" s="16"/>
      <c r="BSX4" s="16"/>
      <c r="BSY4" s="16"/>
      <c r="BSZ4" s="16"/>
      <c r="BTB4" s="297"/>
      <c r="BTC4" s="298"/>
      <c r="BTD4" s="298"/>
      <c r="BTE4" s="297"/>
      <c r="BTF4" s="297"/>
      <c r="BTG4" s="297"/>
      <c r="BTH4" s="298"/>
      <c r="BTI4" s="299"/>
      <c r="BTJ4" s="297"/>
      <c r="BTK4" s="297"/>
      <c r="BTL4" s="299"/>
      <c r="BTM4" s="299"/>
      <c r="BTN4" s="297"/>
      <c r="BTO4" s="297"/>
      <c r="BTP4" s="299"/>
      <c r="BTQ4" s="299"/>
      <c r="BTR4" s="297"/>
      <c r="BTS4" s="297"/>
      <c r="BTT4" s="297"/>
      <c r="BTU4" s="16"/>
      <c r="BTV4" s="16"/>
      <c r="BTW4" s="16"/>
      <c r="BTX4" s="16"/>
      <c r="BTZ4" s="297"/>
      <c r="BUA4" s="298"/>
      <c r="BUB4" s="298"/>
      <c r="BUC4" s="297"/>
      <c r="BUD4" s="297"/>
      <c r="BUE4" s="297"/>
      <c r="BUF4" s="298"/>
      <c r="BUG4" s="299"/>
      <c r="BUH4" s="297"/>
      <c r="BUI4" s="297"/>
      <c r="BUJ4" s="299"/>
      <c r="BUK4" s="299"/>
      <c r="BUL4" s="297"/>
      <c r="BUM4" s="297"/>
      <c r="BUN4" s="299"/>
      <c r="BUO4" s="299"/>
      <c r="BUP4" s="297"/>
      <c r="BUQ4" s="297"/>
      <c r="BUR4" s="297"/>
      <c r="BUS4" s="16"/>
      <c r="BUT4" s="16"/>
      <c r="BUU4" s="16"/>
      <c r="BUV4" s="16"/>
      <c r="BUX4" s="297"/>
      <c r="BUY4" s="298"/>
      <c r="BUZ4" s="298"/>
      <c r="BVA4" s="297"/>
      <c r="BVB4" s="297"/>
      <c r="BVC4" s="297"/>
      <c r="BVD4" s="298"/>
      <c r="BVE4" s="299"/>
      <c r="BVF4" s="297"/>
      <c r="BVG4" s="297"/>
      <c r="BVH4" s="299"/>
      <c r="BVI4" s="299"/>
      <c r="BVJ4" s="297"/>
      <c r="BVK4" s="297"/>
      <c r="BVL4" s="299"/>
      <c r="BVM4" s="299"/>
      <c r="BVN4" s="297"/>
      <c r="BVO4" s="297"/>
      <c r="BVP4" s="297"/>
      <c r="BVQ4" s="16"/>
      <c r="BVR4" s="16"/>
      <c r="BVS4" s="16"/>
      <c r="BVT4" s="16"/>
      <c r="BVV4" s="297"/>
      <c r="BVW4" s="298"/>
      <c r="BVX4" s="298"/>
      <c r="BVY4" s="297"/>
      <c r="BVZ4" s="297"/>
      <c r="BWA4" s="297"/>
      <c r="BWB4" s="298"/>
      <c r="BWC4" s="299"/>
      <c r="BWD4" s="297"/>
      <c r="BWE4" s="297"/>
      <c r="BWF4" s="299"/>
      <c r="BWG4" s="299"/>
      <c r="BWH4" s="297"/>
      <c r="BWI4" s="297"/>
      <c r="BWJ4" s="299"/>
      <c r="BWK4" s="299"/>
      <c r="BWL4" s="297"/>
      <c r="BWM4" s="297"/>
      <c r="BWN4" s="297"/>
      <c r="BWO4" s="16"/>
      <c r="BWP4" s="16"/>
      <c r="BWQ4" s="16"/>
      <c r="BWR4" s="16"/>
      <c r="BWT4" s="297"/>
      <c r="BWU4" s="298"/>
      <c r="BWV4" s="298"/>
      <c r="BWW4" s="297"/>
      <c r="BWX4" s="297"/>
      <c r="BWY4" s="297"/>
      <c r="BWZ4" s="298"/>
      <c r="BXA4" s="299"/>
      <c r="BXB4" s="297"/>
      <c r="BXC4" s="297"/>
      <c r="BXD4" s="299"/>
      <c r="BXE4" s="299"/>
      <c r="BXF4" s="297"/>
      <c r="BXG4" s="297"/>
      <c r="BXH4" s="299"/>
      <c r="BXI4" s="299"/>
      <c r="BXJ4" s="297"/>
      <c r="BXK4" s="297"/>
      <c r="BXL4" s="297"/>
      <c r="BXM4" s="16"/>
      <c r="BXN4" s="16"/>
      <c r="BXO4" s="16"/>
      <c r="BXP4" s="16"/>
      <c r="BXR4" s="297"/>
      <c r="BXS4" s="298"/>
      <c r="BXT4" s="298"/>
      <c r="BXU4" s="297"/>
      <c r="BXV4" s="297"/>
      <c r="BXW4" s="297"/>
      <c r="BXX4" s="298"/>
      <c r="BXY4" s="299"/>
      <c r="BXZ4" s="297"/>
      <c r="BYA4" s="297"/>
      <c r="BYB4" s="299"/>
      <c r="BYC4" s="299"/>
      <c r="BYD4" s="297"/>
      <c r="BYE4" s="297"/>
      <c r="BYF4" s="299"/>
      <c r="BYG4" s="299"/>
      <c r="BYH4" s="297"/>
      <c r="BYI4" s="297"/>
      <c r="BYJ4" s="297"/>
      <c r="BYK4" s="16"/>
      <c r="BYL4" s="16"/>
      <c r="BYM4" s="16"/>
      <c r="BYN4" s="16"/>
      <c r="BYP4" s="297"/>
      <c r="BYQ4" s="298"/>
      <c r="BYR4" s="298"/>
      <c r="BYS4" s="297"/>
      <c r="BYT4" s="297"/>
      <c r="BYU4" s="297"/>
      <c r="BYV4" s="298"/>
      <c r="BYW4" s="299"/>
      <c r="BYX4" s="297"/>
      <c r="BYY4" s="297"/>
      <c r="BYZ4" s="299"/>
      <c r="BZA4" s="299"/>
      <c r="BZB4" s="297"/>
      <c r="BZC4" s="297"/>
      <c r="BZD4" s="299"/>
      <c r="BZE4" s="299"/>
      <c r="BZF4" s="297"/>
      <c r="BZG4" s="297"/>
      <c r="BZH4" s="297"/>
      <c r="BZI4" s="16"/>
      <c r="BZJ4" s="16"/>
      <c r="BZK4" s="16"/>
      <c r="BZL4" s="16"/>
      <c r="BZN4" s="297"/>
      <c r="BZO4" s="298"/>
      <c r="BZP4" s="298"/>
      <c r="BZQ4" s="297"/>
      <c r="BZR4" s="297"/>
      <c r="BZS4" s="297"/>
      <c r="BZT4" s="298"/>
      <c r="BZU4" s="299"/>
      <c r="BZV4" s="297"/>
      <c r="BZW4" s="297"/>
      <c r="BZX4" s="299"/>
      <c r="BZY4" s="299"/>
      <c r="BZZ4" s="297"/>
      <c r="CAA4" s="297"/>
      <c r="CAB4" s="299"/>
      <c r="CAC4" s="299"/>
      <c r="CAD4" s="297"/>
      <c r="CAE4" s="297"/>
      <c r="CAF4" s="297"/>
      <c r="CAG4" s="16"/>
      <c r="CAH4" s="16"/>
      <c r="CAI4" s="16"/>
      <c r="CAJ4" s="16"/>
      <c r="CAL4" s="297"/>
      <c r="CAM4" s="298"/>
      <c r="CAN4" s="298"/>
      <c r="CAO4" s="297"/>
      <c r="CAP4" s="297"/>
      <c r="CAQ4" s="297"/>
      <c r="CAR4" s="298"/>
      <c r="CAS4" s="299"/>
      <c r="CAT4" s="297"/>
      <c r="CAU4" s="297"/>
      <c r="CAV4" s="299"/>
      <c r="CAW4" s="299"/>
      <c r="CAX4" s="297"/>
      <c r="CAY4" s="297"/>
      <c r="CAZ4" s="299"/>
      <c r="CBA4" s="299"/>
      <c r="CBB4" s="297"/>
      <c r="CBC4" s="297"/>
      <c r="CBD4" s="297"/>
      <c r="CBE4" s="16"/>
      <c r="CBF4" s="16"/>
      <c r="CBG4" s="16"/>
      <c r="CBH4" s="16"/>
      <c r="CBJ4" s="297"/>
      <c r="CBK4" s="298"/>
      <c r="CBL4" s="298"/>
      <c r="CBM4" s="297"/>
      <c r="CBN4" s="297"/>
      <c r="CBO4" s="297"/>
      <c r="CBP4" s="298"/>
      <c r="CBQ4" s="299"/>
      <c r="CBR4" s="297"/>
      <c r="CBS4" s="297"/>
      <c r="CBT4" s="299"/>
      <c r="CBU4" s="299"/>
      <c r="CBV4" s="297"/>
      <c r="CBW4" s="297"/>
      <c r="CBX4" s="299"/>
      <c r="CBY4" s="299"/>
      <c r="CBZ4" s="297"/>
      <c r="CCA4" s="297"/>
      <c r="CCB4" s="297"/>
      <c r="CCC4" s="16"/>
      <c r="CCD4" s="16"/>
      <c r="CCE4" s="16"/>
      <c r="CCF4" s="16"/>
      <c r="CCH4" s="297"/>
      <c r="CCI4" s="298"/>
      <c r="CCJ4" s="298"/>
      <c r="CCK4" s="297"/>
      <c r="CCL4" s="297"/>
      <c r="CCM4" s="297"/>
      <c r="CCN4" s="298"/>
      <c r="CCO4" s="299"/>
      <c r="CCP4" s="297"/>
      <c r="CCQ4" s="297"/>
      <c r="CCR4" s="299"/>
      <c r="CCS4" s="299"/>
      <c r="CCT4" s="297"/>
      <c r="CCU4" s="297"/>
      <c r="CCV4" s="299"/>
      <c r="CCW4" s="299"/>
      <c r="CCX4" s="297"/>
      <c r="CCY4" s="297"/>
      <c r="CCZ4" s="297"/>
      <c r="CDA4" s="16"/>
      <c r="CDB4" s="16"/>
      <c r="CDC4" s="16"/>
      <c r="CDD4" s="16"/>
      <c r="CDF4" s="297"/>
      <c r="CDG4" s="298"/>
      <c r="CDH4" s="298"/>
      <c r="CDI4" s="297"/>
      <c r="CDJ4" s="297"/>
      <c r="CDK4" s="297"/>
      <c r="CDL4" s="298"/>
      <c r="CDM4" s="299"/>
      <c r="CDN4" s="297"/>
      <c r="CDO4" s="297"/>
      <c r="CDP4" s="299"/>
      <c r="CDQ4" s="299"/>
      <c r="CDR4" s="297"/>
      <c r="CDS4" s="297"/>
      <c r="CDT4" s="299"/>
      <c r="CDU4" s="299"/>
      <c r="CDV4" s="297"/>
      <c r="CDW4" s="297"/>
      <c r="CDX4" s="297"/>
      <c r="CDY4" s="16"/>
      <c r="CDZ4" s="16"/>
      <c r="CEA4" s="16"/>
      <c r="CEB4" s="16"/>
      <c r="CED4" s="297"/>
      <c r="CEE4" s="298"/>
      <c r="CEF4" s="298"/>
      <c r="CEG4" s="297"/>
      <c r="CEH4" s="297"/>
      <c r="CEI4" s="297"/>
      <c r="CEJ4" s="298"/>
      <c r="CEK4" s="299"/>
      <c r="CEL4" s="297"/>
      <c r="CEM4" s="297"/>
      <c r="CEN4" s="299"/>
      <c r="CEO4" s="299"/>
      <c r="CEP4" s="297"/>
      <c r="CEQ4" s="297"/>
      <c r="CER4" s="299"/>
      <c r="CES4" s="299"/>
      <c r="CET4" s="297"/>
      <c r="CEU4" s="297"/>
      <c r="CEV4" s="297"/>
      <c r="CEW4" s="16"/>
      <c r="CEX4" s="16"/>
      <c r="CEY4" s="16"/>
      <c r="CEZ4" s="16"/>
      <c r="CFB4" s="297"/>
      <c r="CFC4" s="298"/>
      <c r="CFD4" s="298"/>
      <c r="CFE4" s="297"/>
      <c r="CFF4" s="297"/>
      <c r="CFG4" s="297"/>
      <c r="CFH4" s="298"/>
      <c r="CFI4" s="299"/>
      <c r="CFJ4" s="297"/>
      <c r="CFK4" s="297"/>
      <c r="CFL4" s="299"/>
      <c r="CFM4" s="299"/>
      <c r="CFN4" s="297"/>
      <c r="CFO4" s="297"/>
      <c r="CFP4" s="299"/>
      <c r="CFQ4" s="299"/>
      <c r="CFR4" s="297"/>
      <c r="CFS4" s="297"/>
      <c r="CFT4" s="297"/>
      <c r="CFU4" s="16"/>
      <c r="CFV4" s="16"/>
      <c r="CFW4" s="16"/>
      <c r="CFX4" s="16"/>
      <c r="CFZ4" s="297"/>
      <c r="CGA4" s="298"/>
      <c r="CGB4" s="298"/>
      <c r="CGC4" s="297"/>
      <c r="CGD4" s="297"/>
      <c r="CGE4" s="297"/>
      <c r="CGF4" s="298"/>
      <c r="CGG4" s="299"/>
      <c r="CGH4" s="297"/>
      <c r="CGI4" s="297"/>
      <c r="CGJ4" s="299"/>
      <c r="CGK4" s="299"/>
      <c r="CGL4" s="297"/>
      <c r="CGM4" s="297"/>
      <c r="CGN4" s="299"/>
      <c r="CGO4" s="299"/>
      <c r="CGP4" s="297"/>
      <c r="CGQ4" s="297"/>
      <c r="CGR4" s="297"/>
      <c r="CGS4" s="16"/>
      <c r="CGT4" s="16"/>
      <c r="CGU4" s="16"/>
      <c r="CGV4" s="16"/>
      <c r="CGX4" s="297"/>
      <c r="CGY4" s="298"/>
      <c r="CGZ4" s="298"/>
      <c r="CHA4" s="297"/>
      <c r="CHB4" s="297"/>
      <c r="CHC4" s="297"/>
      <c r="CHD4" s="298"/>
      <c r="CHE4" s="299"/>
      <c r="CHF4" s="297"/>
      <c r="CHG4" s="297"/>
      <c r="CHH4" s="299"/>
      <c r="CHI4" s="299"/>
      <c r="CHJ4" s="297"/>
      <c r="CHK4" s="297"/>
      <c r="CHL4" s="299"/>
      <c r="CHM4" s="299"/>
      <c r="CHN4" s="297"/>
      <c r="CHO4" s="297"/>
      <c r="CHP4" s="297"/>
      <c r="CHQ4" s="16"/>
      <c r="CHR4" s="16"/>
      <c r="CHS4" s="16"/>
      <c r="CHT4" s="16"/>
      <c r="CHV4" s="297"/>
      <c r="CHW4" s="298"/>
      <c r="CHX4" s="298"/>
      <c r="CHY4" s="297"/>
      <c r="CHZ4" s="297"/>
      <c r="CIA4" s="297"/>
      <c r="CIB4" s="298"/>
      <c r="CIC4" s="299"/>
      <c r="CID4" s="297"/>
      <c r="CIE4" s="297"/>
      <c r="CIF4" s="299"/>
      <c r="CIG4" s="299"/>
      <c r="CIH4" s="297"/>
      <c r="CII4" s="297"/>
      <c r="CIJ4" s="299"/>
      <c r="CIK4" s="299"/>
      <c r="CIL4" s="297"/>
      <c r="CIM4" s="297"/>
      <c r="CIN4" s="297"/>
      <c r="CIO4" s="16"/>
      <c r="CIP4" s="16"/>
      <c r="CIQ4" s="16"/>
      <c r="CIR4" s="16"/>
      <c r="CIT4" s="297"/>
      <c r="CIU4" s="298"/>
      <c r="CIV4" s="298"/>
      <c r="CIW4" s="297"/>
      <c r="CIX4" s="297"/>
      <c r="CIY4" s="297"/>
      <c r="CIZ4" s="298"/>
      <c r="CJA4" s="299"/>
      <c r="CJB4" s="297"/>
      <c r="CJC4" s="297"/>
      <c r="CJD4" s="299"/>
      <c r="CJE4" s="299"/>
      <c r="CJF4" s="297"/>
      <c r="CJG4" s="297"/>
      <c r="CJH4" s="299"/>
      <c r="CJI4" s="299"/>
      <c r="CJJ4" s="297"/>
      <c r="CJK4" s="297"/>
      <c r="CJL4" s="297"/>
      <c r="CJM4" s="16"/>
      <c r="CJN4" s="16"/>
      <c r="CJO4" s="16"/>
      <c r="CJP4" s="16"/>
      <c r="CJR4" s="297"/>
      <c r="CJS4" s="298"/>
      <c r="CJT4" s="298"/>
      <c r="CJU4" s="297"/>
      <c r="CJV4" s="297"/>
      <c r="CJW4" s="297"/>
      <c r="CJX4" s="298"/>
      <c r="CJY4" s="299"/>
      <c r="CJZ4" s="297"/>
      <c r="CKA4" s="297"/>
      <c r="CKB4" s="299"/>
      <c r="CKC4" s="299"/>
      <c r="CKD4" s="297"/>
      <c r="CKE4" s="297"/>
      <c r="CKF4" s="299"/>
      <c r="CKG4" s="299"/>
      <c r="CKH4" s="297"/>
      <c r="CKI4" s="297"/>
      <c r="CKJ4" s="297"/>
      <c r="CKK4" s="16"/>
      <c r="CKL4" s="16"/>
      <c r="CKM4" s="16"/>
      <c r="CKN4" s="16"/>
      <c r="CKP4" s="297"/>
      <c r="CKQ4" s="298"/>
      <c r="CKR4" s="298"/>
      <c r="CKS4" s="297"/>
      <c r="CKT4" s="297"/>
      <c r="CKU4" s="297"/>
      <c r="CKV4" s="298"/>
      <c r="CKW4" s="299"/>
      <c r="CKX4" s="297"/>
      <c r="CKY4" s="297"/>
      <c r="CKZ4" s="299"/>
      <c r="CLA4" s="299"/>
      <c r="CLB4" s="297"/>
      <c r="CLC4" s="297"/>
      <c r="CLD4" s="299"/>
      <c r="CLE4" s="299"/>
      <c r="CLF4" s="297"/>
      <c r="CLG4" s="297"/>
      <c r="CLH4" s="297"/>
      <c r="CLI4" s="16"/>
      <c r="CLJ4" s="16"/>
      <c r="CLK4" s="16"/>
      <c r="CLL4" s="16"/>
      <c r="CLN4" s="297"/>
      <c r="CLO4" s="298"/>
      <c r="CLP4" s="298"/>
      <c r="CLQ4" s="297"/>
      <c r="CLR4" s="297"/>
      <c r="CLS4" s="297"/>
      <c r="CLT4" s="298"/>
      <c r="CLU4" s="299"/>
      <c r="CLV4" s="297"/>
      <c r="CLW4" s="297"/>
      <c r="CLX4" s="299"/>
      <c r="CLY4" s="299"/>
      <c r="CLZ4" s="297"/>
      <c r="CMA4" s="297"/>
      <c r="CMB4" s="299"/>
      <c r="CMC4" s="299"/>
      <c r="CMD4" s="297"/>
      <c r="CME4" s="297"/>
      <c r="CMF4" s="297"/>
      <c r="CMG4" s="16"/>
      <c r="CMH4" s="16"/>
      <c r="CMI4" s="16"/>
      <c r="CMJ4" s="16"/>
      <c r="CML4" s="297"/>
      <c r="CMM4" s="298"/>
      <c r="CMN4" s="298"/>
      <c r="CMO4" s="297"/>
      <c r="CMP4" s="297"/>
      <c r="CMQ4" s="297"/>
      <c r="CMR4" s="298"/>
      <c r="CMS4" s="299"/>
      <c r="CMT4" s="297"/>
      <c r="CMU4" s="297"/>
      <c r="CMV4" s="299"/>
      <c r="CMW4" s="299"/>
      <c r="CMX4" s="297"/>
      <c r="CMY4" s="297"/>
      <c r="CMZ4" s="299"/>
      <c r="CNA4" s="299"/>
      <c r="CNB4" s="297"/>
      <c r="CNC4" s="297"/>
      <c r="CND4" s="297"/>
      <c r="CNE4" s="16"/>
      <c r="CNF4" s="16"/>
      <c r="CNG4" s="16"/>
      <c r="CNH4" s="16"/>
      <c r="CNJ4" s="297"/>
      <c r="CNK4" s="298"/>
      <c r="CNL4" s="298"/>
      <c r="CNM4" s="297"/>
      <c r="CNN4" s="297"/>
      <c r="CNO4" s="297"/>
      <c r="CNP4" s="298"/>
      <c r="CNQ4" s="299"/>
      <c r="CNR4" s="297"/>
      <c r="CNS4" s="297"/>
      <c r="CNT4" s="299"/>
      <c r="CNU4" s="299"/>
      <c r="CNV4" s="297"/>
      <c r="CNW4" s="297"/>
      <c r="CNX4" s="299"/>
      <c r="CNY4" s="299"/>
      <c r="CNZ4" s="297"/>
      <c r="COA4" s="297"/>
      <c r="COB4" s="297"/>
      <c r="COC4" s="16"/>
      <c r="COD4" s="16"/>
      <c r="COE4" s="16"/>
      <c r="COF4" s="16"/>
      <c r="COH4" s="297"/>
      <c r="COI4" s="298"/>
      <c r="COJ4" s="298"/>
      <c r="COK4" s="297"/>
      <c r="COL4" s="297"/>
      <c r="COM4" s="297"/>
      <c r="CON4" s="298"/>
      <c r="COO4" s="299"/>
      <c r="COP4" s="297"/>
      <c r="COQ4" s="297"/>
      <c r="COR4" s="299"/>
      <c r="COS4" s="299"/>
      <c r="COT4" s="297"/>
      <c r="COU4" s="297"/>
      <c r="COV4" s="299"/>
      <c r="COW4" s="299"/>
      <c r="COX4" s="297"/>
      <c r="COY4" s="297"/>
      <c r="COZ4" s="297"/>
      <c r="CPA4" s="16"/>
      <c r="CPB4" s="16"/>
      <c r="CPC4" s="16"/>
      <c r="CPD4" s="16"/>
      <c r="CPF4" s="297"/>
      <c r="CPG4" s="298"/>
      <c r="CPH4" s="298"/>
      <c r="CPI4" s="297"/>
      <c r="CPJ4" s="297"/>
      <c r="CPK4" s="297"/>
      <c r="CPL4" s="298"/>
      <c r="CPM4" s="299"/>
      <c r="CPN4" s="297"/>
      <c r="CPO4" s="297"/>
      <c r="CPP4" s="299"/>
      <c r="CPQ4" s="299"/>
      <c r="CPR4" s="297"/>
      <c r="CPS4" s="297"/>
      <c r="CPT4" s="299"/>
      <c r="CPU4" s="299"/>
      <c r="CPV4" s="297"/>
      <c r="CPW4" s="297"/>
      <c r="CPX4" s="297"/>
      <c r="CPY4" s="16"/>
      <c r="CPZ4" s="16"/>
      <c r="CQA4" s="16"/>
      <c r="CQB4" s="16"/>
      <c r="CQD4" s="297"/>
      <c r="CQE4" s="298"/>
      <c r="CQF4" s="298"/>
      <c r="CQG4" s="297"/>
      <c r="CQH4" s="297"/>
      <c r="CQI4" s="297"/>
      <c r="CQJ4" s="298"/>
      <c r="CQK4" s="299"/>
      <c r="CQL4" s="297"/>
      <c r="CQM4" s="297"/>
      <c r="CQN4" s="299"/>
      <c r="CQO4" s="299"/>
      <c r="CQP4" s="297"/>
      <c r="CQQ4" s="297"/>
      <c r="CQR4" s="299"/>
      <c r="CQS4" s="299"/>
      <c r="CQT4" s="297"/>
      <c r="CQU4" s="297"/>
      <c r="CQV4" s="297"/>
      <c r="CQW4" s="16"/>
      <c r="CQX4" s="16"/>
      <c r="CQY4" s="16"/>
      <c r="CQZ4" s="16"/>
      <c r="CRB4" s="297"/>
      <c r="CRC4" s="298"/>
      <c r="CRD4" s="298"/>
      <c r="CRE4" s="297"/>
      <c r="CRF4" s="297"/>
      <c r="CRG4" s="297"/>
      <c r="CRH4" s="298"/>
      <c r="CRI4" s="299"/>
      <c r="CRJ4" s="297"/>
      <c r="CRK4" s="297"/>
      <c r="CRL4" s="299"/>
      <c r="CRM4" s="299"/>
      <c r="CRN4" s="297"/>
      <c r="CRO4" s="297"/>
      <c r="CRP4" s="299"/>
      <c r="CRQ4" s="299"/>
      <c r="CRR4" s="297"/>
      <c r="CRS4" s="297"/>
      <c r="CRT4" s="297"/>
      <c r="CRU4" s="16"/>
      <c r="CRV4" s="16"/>
      <c r="CRW4" s="16"/>
      <c r="CRX4" s="16"/>
      <c r="CRZ4" s="297"/>
      <c r="CSA4" s="298"/>
      <c r="CSB4" s="298"/>
      <c r="CSC4" s="297"/>
      <c r="CSD4" s="297"/>
      <c r="CSE4" s="297"/>
      <c r="CSF4" s="298"/>
      <c r="CSG4" s="299"/>
      <c r="CSH4" s="297"/>
      <c r="CSI4" s="297"/>
      <c r="CSJ4" s="299"/>
      <c r="CSK4" s="299"/>
      <c r="CSL4" s="297"/>
      <c r="CSM4" s="297"/>
      <c r="CSN4" s="299"/>
      <c r="CSO4" s="299"/>
      <c r="CSP4" s="297"/>
      <c r="CSQ4" s="297"/>
      <c r="CSR4" s="297"/>
      <c r="CSS4" s="16"/>
      <c r="CST4" s="16"/>
      <c r="CSU4" s="16"/>
      <c r="CSV4" s="16"/>
      <c r="CSX4" s="297"/>
      <c r="CSY4" s="298"/>
      <c r="CSZ4" s="298"/>
      <c r="CTA4" s="297"/>
      <c r="CTB4" s="297"/>
      <c r="CTC4" s="297"/>
      <c r="CTD4" s="298"/>
      <c r="CTE4" s="299"/>
      <c r="CTF4" s="297"/>
      <c r="CTG4" s="297"/>
      <c r="CTH4" s="299"/>
      <c r="CTI4" s="299"/>
      <c r="CTJ4" s="297"/>
      <c r="CTK4" s="297"/>
      <c r="CTL4" s="299"/>
      <c r="CTM4" s="299"/>
      <c r="CTN4" s="297"/>
      <c r="CTO4" s="297"/>
      <c r="CTP4" s="297"/>
      <c r="CTQ4" s="16"/>
      <c r="CTR4" s="16"/>
      <c r="CTS4" s="16"/>
      <c r="CTT4" s="16"/>
      <c r="CTV4" s="297"/>
      <c r="CTW4" s="298"/>
      <c r="CTX4" s="298"/>
      <c r="CTY4" s="297"/>
      <c r="CTZ4" s="297"/>
      <c r="CUA4" s="297"/>
      <c r="CUB4" s="298"/>
      <c r="CUC4" s="299"/>
      <c r="CUD4" s="297"/>
      <c r="CUE4" s="297"/>
      <c r="CUF4" s="299"/>
      <c r="CUG4" s="299"/>
      <c r="CUH4" s="297"/>
      <c r="CUI4" s="297"/>
      <c r="CUJ4" s="299"/>
      <c r="CUK4" s="299"/>
      <c r="CUL4" s="297"/>
      <c r="CUM4" s="297"/>
      <c r="CUN4" s="297"/>
      <c r="CUO4" s="16"/>
      <c r="CUP4" s="16"/>
      <c r="CUQ4" s="16"/>
      <c r="CUR4" s="16"/>
      <c r="CUT4" s="297"/>
      <c r="CUU4" s="298"/>
      <c r="CUV4" s="298"/>
      <c r="CUW4" s="297"/>
      <c r="CUX4" s="297"/>
      <c r="CUY4" s="297"/>
      <c r="CUZ4" s="298"/>
      <c r="CVA4" s="299"/>
      <c r="CVB4" s="297"/>
      <c r="CVC4" s="297"/>
      <c r="CVD4" s="299"/>
      <c r="CVE4" s="299"/>
      <c r="CVF4" s="297"/>
      <c r="CVG4" s="297"/>
      <c r="CVH4" s="299"/>
      <c r="CVI4" s="299"/>
      <c r="CVJ4" s="297"/>
      <c r="CVK4" s="297"/>
      <c r="CVL4" s="297"/>
      <c r="CVM4" s="16"/>
      <c r="CVN4" s="16"/>
      <c r="CVO4" s="16"/>
      <c r="CVP4" s="16"/>
      <c r="CVR4" s="297"/>
      <c r="CVS4" s="298"/>
      <c r="CVT4" s="298"/>
      <c r="CVU4" s="297"/>
      <c r="CVV4" s="297"/>
      <c r="CVW4" s="297"/>
      <c r="CVX4" s="298"/>
      <c r="CVY4" s="299"/>
      <c r="CVZ4" s="297"/>
      <c r="CWA4" s="297"/>
      <c r="CWB4" s="299"/>
      <c r="CWC4" s="299"/>
      <c r="CWD4" s="297"/>
      <c r="CWE4" s="297"/>
      <c r="CWF4" s="299"/>
      <c r="CWG4" s="299"/>
      <c r="CWH4" s="297"/>
      <c r="CWI4" s="297"/>
      <c r="CWJ4" s="297"/>
      <c r="CWK4" s="16"/>
      <c r="CWL4" s="16"/>
      <c r="CWM4" s="16"/>
      <c r="CWN4" s="16"/>
      <c r="CWP4" s="297"/>
      <c r="CWQ4" s="298"/>
      <c r="CWR4" s="298"/>
      <c r="CWS4" s="297"/>
      <c r="CWT4" s="297"/>
      <c r="CWU4" s="297"/>
      <c r="CWV4" s="298"/>
      <c r="CWW4" s="299"/>
      <c r="CWX4" s="297"/>
      <c r="CWY4" s="297"/>
      <c r="CWZ4" s="299"/>
      <c r="CXA4" s="299"/>
      <c r="CXB4" s="297"/>
      <c r="CXC4" s="297"/>
      <c r="CXD4" s="299"/>
      <c r="CXE4" s="299"/>
      <c r="CXF4" s="297"/>
      <c r="CXG4" s="297"/>
      <c r="CXH4" s="297"/>
      <c r="CXI4" s="16"/>
      <c r="CXJ4" s="16"/>
      <c r="CXK4" s="16"/>
      <c r="CXL4" s="16"/>
      <c r="CXN4" s="297"/>
      <c r="CXO4" s="298"/>
      <c r="CXP4" s="298"/>
      <c r="CXQ4" s="297"/>
      <c r="CXR4" s="297"/>
      <c r="CXS4" s="297"/>
      <c r="CXT4" s="298"/>
      <c r="CXU4" s="299"/>
      <c r="CXV4" s="297"/>
      <c r="CXW4" s="297"/>
      <c r="CXX4" s="299"/>
      <c r="CXY4" s="299"/>
      <c r="CXZ4" s="297"/>
      <c r="CYA4" s="297"/>
      <c r="CYB4" s="299"/>
      <c r="CYC4" s="299"/>
      <c r="CYD4" s="297"/>
      <c r="CYE4" s="297"/>
      <c r="CYF4" s="297"/>
      <c r="CYG4" s="16"/>
      <c r="CYH4" s="16"/>
      <c r="CYI4" s="16"/>
      <c r="CYJ4" s="16"/>
      <c r="CYL4" s="297"/>
      <c r="CYM4" s="298"/>
      <c r="CYN4" s="298"/>
      <c r="CYO4" s="297"/>
      <c r="CYP4" s="297"/>
      <c r="CYQ4" s="297"/>
      <c r="CYR4" s="298"/>
      <c r="CYS4" s="299"/>
      <c r="CYT4" s="297"/>
      <c r="CYU4" s="297"/>
      <c r="CYV4" s="299"/>
      <c r="CYW4" s="299"/>
      <c r="CYX4" s="297"/>
      <c r="CYY4" s="297"/>
      <c r="CYZ4" s="299"/>
      <c r="CZA4" s="299"/>
      <c r="CZB4" s="297"/>
      <c r="CZC4" s="297"/>
      <c r="CZD4" s="297"/>
      <c r="CZE4" s="16"/>
      <c r="CZF4" s="16"/>
      <c r="CZG4" s="16"/>
      <c r="CZH4" s="16"/>
      <c r="CZJ4" s="297"/>
      <c r="CZK4" s="298"/>
      <c r="CZL4" s="298"/>
      <c r="CZM4" s="297"/>
      <c r="CZN4" s="297"/>
      <c r="CZO4" s="297"/>
      <c r="CZP4" s="298"/>
      <c r="CZQ4" s="299"/>
      <c r="CZR4" s="297"/>
      <c r="CZS4" s="297"/>
      <c r="CZT4" s="299"/>
      <c r="CZU4" s="299"/>
      <c r="CZV4" s="297"/>
      <c r="CZW4" s="297"/>
      <c r="CZX4" s="299"/>
      <c r="CZY4" s="299"/>
      <c r="CZZ4" s="297"/>
      <c r="DAA4" s="297"/>
      <c r="DAB4" s="297"/>
      <c r="DAC4" s="16"/>
      <c r="DAD4" s="16"/>
      <c r="DAE4" s="16"/>
      <c r="DAF4" s="16"/>
      <c r="DAH4" s="297"/>
      <c r="DAI4" s="298"/>
      <c r="DAJ4" s="298"/>
      <c r="DAK4" s="297"/>
      <c r="DAL4" s="297"/>
      <c r="DAM4" s="297"/>
      <c r="DAN4" s="298"/>
      <c r="DAO4" s="299"/>
      <c r="DAP4" s="297"/>
      <c r="DAQ4" s="297"/>
      <c r="DAR4" s="299"/>
      <c r="DAS4" s="299"/>
      <c r="DAT4" s="297"/>
      <c r="DAU4" s="297"/>
      <c r="DAV4" s="299"/>
      <c r="DAW4" s="299"/>
      <c r="DAX4" s="297"/>
      <c r="DAY4" s="297"/>
      <c r="DAZ4" s="297"/>
      <c r="DBA4" s="16"/>
      <c r="DBB4" s="16"/>
      <c r="DBC4" s="16"/>
      <c r="DBD4" s="16"/>
      <c r="DBF4" s="297"/>
      <c r="DBG4" s="298"/>
      <c r="DBH4" s="298"/>
      <c r="DBI4" s="297"/>
      <c r="DBJ4" s="297"/>
      <c r="DBK4" s="297"/>
      <c r="DBL4" s="298"/>
      <c r="DBM4" s="299"/>
      <c r="DBN4" s="297"/>
      <c r="DBO4" s="297"/>
      <c r="DBP4" s="299"/>
      <c r="DBQ4" s="299"/>
      <c r="DBR4" s="297"/>
      <c r="DBS4" s="297"/>
      <c r="DBT4" s="299"/>
      <c r="DBU4" s="299"/>
      <c r="DBV4" s="297"/>
      <c r="DBW4" s="297"/>
      <c r="DBX4" s="297"/>
      <c r="DBY4" s="16"/>
      <c r="DBZ4" s="16"/>
      <c r="DCA4" s="16"/>
      <c r="DCB4" s="16"/>
      <c r="DCD4" s="297"/>
      <c r="DCE4" s="298"/>
      <c r="DCF4" s="298"/>
      <c r="DCG4" s="297"/>
      <c r="DCH4" s="297"/>
      <c r="DCI4" s="297"/>
      <c r="DCJ4" s="298"/>
      <c r="DCK4" s="299"/>
      <c r="DCL4" s="297"/>
      <c r="DCM4" s="297"/>
      <c r="DCN4" s="299"/>
      <c r="DCO4" s="299"/>
      <c r="DCP4" s="297"/>
      <c r="DCQ4" s="297"/>
      <c r="DCR4" s="299"/>
      <c r="DCS4" s="299"/>
      <c r="DCT4" s="297"/>
      <c r="DCU4" s="297"/>
      <c r="DCV4" s="297"/>
      <c r="DCW4" s="16"/>
      <c r="DCX4" s="16"/>
      <c r="DCY4" s="16"/>
      <c r="DCZ4" s="16"/>
      <c r="DDB4" s="297"/>
      <c r="DDC4" s="298"/>
      <c r="DDD4" s="298"/>
      <c r="DDE4" s="297"/>
      <c r="DDF4" s="297"/>
      <c r="DDG4" s="297"/>
      <c r="DDH4" s="298"/>
      <c r="DDI4" s="299"/>
      <c r="DDJ4" s="297"/>
      <c r="DDK4" s="297"/>
      <c r="DDL4" s="299"/>
      <c r="DDM4" s="299"/>
      <c r="DDN4" s="297"/>
      <c r="DDO4" s="297"/>
      <c r="DDP4" s="299"/>
      <c r="DDQ4" s="299"/>
      <c r="DDR4" s="297"/>
      <c r="DDS4" s="297"/>
      <c r="DDT4" s="297"/>
      <c r="DDU4" s="16"/>
      <c r="DDV4" s="16"/>
      <c r="DDW4" s="16"/>
      <c r="DDX4" s="16"/>
      <c r="DDZ4" s="297"/>
      <c r="DEA4" s="298"/>
      <c r="DEB4" s="298"/>
      <c r="DEC4" s="297"/>
      <c r="DED4" s="297"/>
      <c r="DEE4" s="297"/>
      <c r="DEF4" s="298"/>
      <c r="DEG4" s="299"/>
      <c r="DEH4" s="297"/>
      <c r="DEI4" s="297"/>
      <c r="DEJ4" s="299"/>
      <c r="DEK4" s="299"/>
      <c r="DEL4" s="297"/>
      <c r="DEM4" s="297"/>
      <c r="DEN4" s="299"/>
      <c r="DEO4" s="299"/>
      <c r="DEP4" s="297"/>
      <c r="DEQ4" s="297"/>
      <c r="DER4" s="297"/>
      <c r="DES4" s="16"/>
      <c r="DET4" s="16"/>
      <c r="DEU4" s="16"/>
      <c r="DEV4" s="16"/>
      <c r="DEX4" s="297"/>
      <c r="DEY4" s="298"/>
      <c r="DEZ4" s="298"/>
      <c r="DFA4" s="297"/>
      <c r="DFB4" s="297"/>
      <c r="DFC4" s="297"/>
      <c r="DFD4" s="298"/>
      <c r="DFE4" s="299"/>
      <c r="DFF4" s="297"/>
      <c r="DFG4" s="297"/>
      <c r="DFH4" s="299"/>
      <c r="DFI4" s="299"/>
      <c r="DFJ4" s="297"/>
      <c r="DFK4" s="297"/>
      <c r="DFL4" s="299"/>
      <c r="DFM4" s="299"/>
      <c r="DFN4" s="297"/>
      <c r="DFO4" s="297"/>
      <c r="DFP4" s="297"/>
      <c r="DFQ4" s="16"/>
      <c r="DFR4" s="16"/>
      <c r="DFS4" s="16"/>
      <c r="DFT4" s="16"/>
      <c r="DFV4" s="297"/>
      <c r="DFW4" s="298"/>
      <c r="DFX4" s="298"/>
      <c r="DFY4" s="297"/>
      <c r="DFZ4" s="297"/>
      <c r="DGA4" s="297"/>
      <c r="DGB4" s="298"/>
      <c r="DGC4" s="299"/>
      <c r="DGD4" s="297"/>
      <c r="DGE4" s="297"/>
      <c r="DGF4" s="299"/>
      <c r="DGG4" s="299"/>
      <c r="DGH4" s="297"/>
      <c r="DGI4" s="297"/>
      <c r="DGJ4" s="299"/>
      <c r="DGK4" s="299"/>
      <c r="DGL4" s="297"/>
      <c r="DGM4" s="297"/>
      <c r="DGN4" s="297"/>
      <c r="DGO4" s="16"/>
      <c r="DGP4" s="16"/>
      <c r="DGQ4" s="16"/>
      <c r="DGR4" s="16"/>
      <c r="DGT4" s="297"/>
      <c r="DGU4" s="298"/>
      <c r="DGV4" s="298"/>
      <c r="DGW4" s="297"/>
      <c r="DGX4" s="297"/>
      <c r="DGY4" s="297"/>
      <c r="DGZ4" s="298"/>
      <c r="DHA4" s="299"/>
      <c r="DHB4" s="297"/>
      <c r="DHC4" s="297"/>
      <c r="DHD4" s="299"/>
      <c r="DHE4" s="299"/>
      <c r="DHF4" s="297"/>
      <c r="DHG4" s="297"/>
      <c r="DHH4" s="299"/>
      <c r="DHI4" s="299"/>
      <c r="DHJ4" s="297"/>
      <c r="DHK4" s="297"/>
      <c r="DHL4" s="297"/>
      <c r="DHM4" s="16"/>
      <c r="DHN4" s="16"/>
      <c r="DHO4" s="16"/>
      <c r="DHP4" s="16"/>
      <c r="DHR4" s="297"/>
      <c r="DHS4" s="298"/>
      <c r="DHT4" s="298"/>
      <c r="DHU4" s="297"/>
      <c r="DHV4" s="297"/>
      <c r="DHW4" s="297"/>
      <c r="DHX4" s="298"/>
      <c r="DHY4" s="299"/>
      <c r="DHZ4" s="297"/>
      <c r="DIA4" s="297"/>
      <c r="DIB4" s="299"/>
      <c r="DIC4" s="299"/>
      <c r="DID4" s="297"/>
      <c r="DIE4" s="297"/>
      <c r="DIF4" s="299"/>
      <c r="DIG4" s="299"/>
      <c r="DIH4" s="297"/>
      <c r="DII4" s="297"/>
      <c r="DIJ4" s="297"/>
      <c r="DIK4" s="16"/>
      <c r="DIL4" s="16"/>
      <c r="DIM4" s="16"/>
      <c r="DIN4" s="16"/>
      <c r="DIP4" s="297"/>
      <c r="DIQ4" s="298"/>
      <c r="DIR4" s="298"/>
      <c r="DIS4" s="297"/>
      <c r="DIT4" s="297"/>
      <c r="DIU4" s="297"/>
      <c r="DIV4" s="298"/>
      <c r="DIW4" s="299"/>
      <c r="DIX4" s="297"/>
      <c r="DIY4" s="297"/>
      <c r="DIZ4" s="299"/>
      <c r="DJA4" s="299"/>
      <c r="DJB4" s="297"/>
      <c r="DJC4" s="297"/>
      <c r="DJD4" s="299"/>
      <c r="DJE4" s="299"/>
      <c r="DJF4" s="297"/>
      <c r="DJG4" s="297"/>
      <c r="DJH4" s="297"/>
      <c r="DJI4" s="16"/>
      <c r="DJJ4" s="16"/>
      <c r="DJK4" s="16"/>
      <c r="DJL4" s="16"/>
      <c r="DJN4" s="297"/>
      <c r="DJO4" s="298"/>
      <c r="DJP4" s="298"/>
      <c r="DJQ4" s="297"/>
      <c r="DJR4" s="297"/>
      <c r="DJS4" s="297"/>
      <c r="DJT4" s="298"/>
      <c r="DJU4" s="299"/>
      <c r="DJV4" s="297"/>
      <c r="DJW4" s="297"/>
      <c r="DJX4" s="299"/>
      <c r="DJY4" s="299"/>
      <c r="DJZ4" s="297"/>
      <c r="DKA4" s="297"/>
      <c r="DKB4" s="299"/>
      <c r="DKC4" s="299"/>
      <c r="DKD4" s="297"/>
      <c r="DKE4" s="297"/>
      <c r="DKF4" s="297"/>
      <c r="DKG4" s="16"/>
      <c r="DKH4" s="16"/>
      <c r="DKI4" s="16"/>
      <c r="DKJ4" s="16"/>
      <c r="DKL4" s="297"/>
      <c r="DKM4" s="298"/>
      <c r="DKN4" s="298"/>
      <c r="DKO4" s="297"/>
      <c r="DKP4" s="297"/>
      <c r="DKQ4" s="297"/>
      <c r="DKR4" s="298"/>
      <c r="DKS4" s="299"/>
      <c r="DKT4" s="297"/>
      <c r="DKU4" s="297"/>
      <c r="DKV4" s="299"/>
      <c r="DKW4" s="299"/>
      <c r="DKX4" s="297"/>
      <c r="DKY4" s="297"/>
      <c r="DKZ4" s="299"/>
      <c r="DLA4" s="299"/>
      <c r="DLB4" s="297"/>
      <c r="DLC4" s="297"/>
      <c r="DLD4" s="297"/>
      <c r="DLE4" s="16"/>
      <c r="DLF4" s="16"/>
      <c r="DLG4" s="16"/>
      <c r="DLH4" s="16"/>
      <c r="DLJ4" s="297"/>
      <c r="DLK4" s="298"/>
      <c r="DLL4" s="298"/>
      <c r="DLM4" s="297"/>
      <c r="DLN4" s="297"/>
      <c r="DLO4" s="297"/>
      <c r="DLP4" s="298"/>
      <c r="DLQ4" s="299"/>
      <c r="DLR4" s="297"/>
      <c r="DLS4" s="297"/>
      <c r="DLT4" s="299"/>
      <c r="DLU4" s="299"/>
      <c r="DLV4" s="297"/>
      <c r="DLW4" s="297"/>
      <c r="DLX4" s="299"/>
      <c r="DLY4" s="299"/>
      <c r="DLZ4" s="297"/>
      <c r="DMA4" s="297"/>
      <c r="DMB4" s="297"/>
      <c r="DMC4" s="16"/>
      <c r="DMD4" s="16"/>
      <c r="DME4" s="16"/>
      <c r="DMF4" s="16"/>
      <c r="DMH4" s="297"/>
      <c r="DMI4" s="298"/>
      <c r="DMJ4" s="298"/>
      <c r="DMK4" s="297"/>
      <c r="DML4" s="297"/>
      <c r="DMM4" s="297"/>
      <c r="DMN4" s="298"/>
      <c r="DMO4" s="299"/>
      <c r="DMP4" s="297"/>
      <c r="DMQ4" s="297"/>
      <c r="DMR4" s="299"/>
      <c r="DMS4" s="299"/>
      <c r="DMT4" s="297"/>
      <c r="DMU4" s="297"/>
      <c r="DMV4" s="299"/>
      <c r="DMW4" s="299"/>
      <c r="DMX4" s="297"/>
      <c r="DMY4" s="297"/>
      <c r="DMZ4" s="297"/>
      <c r="DNA4" s="16"/>
      <c r="DNB4" s="16"/>
      <c r="DNC4" s="16"/>
      <c r="DND4" s="16"/>
      <c r="DNF4" s="297"/>
      <c r="DNG4" s="298"/>
      <c r="DNH4" s="298"/>
      <c r="DNI4" s="297"/>
      <c r="DNJ4" s="297"/>
      <c r="DNK4" s="297"/>
      <c r="DNL4" s="298"/>
      <c r="DNM4" s="299"/>
      <c r="DNN4" s="297"/>
      <c r="DNO4" s="297"/>
      <c r="DNP4" s="299"/>
      <c r="DNQ4" s="299"/>
      <c r="DNR4" s="297"/>
      <c r="DNS4" s="297"/>
      <c r="DNT4" s="299"/>
      <c r="DNU4" s="299"/>
      <c r="DNV4" s="297"/>
      <c r="DNW4" s="297"/>
      <c r="DNX4" s="297"/>
      <c r="DNY4" s="16"/>
      <c r="DNZ4" s="16"/>
      <c r="DOA4" s="16"/>
      <c r="DOB4" s="16"/>
      <c r="DOD4" s="297"/>
      <c r="DOE4" s="298"/>
      <c r="DOF4" s="298"/>
      <c r="DOG4" s="297"/>
      <c r="DOH4" s="297"/>
      <c r="DOI4" s="297"/>
      <c r="DOJ4" s="298"/>
      <c r="DOK4" s="299"/>
      <c r="DOL4" s="297"/>
      <c r="DOM4" s="297"/>
      <c r="DON4" s="299"/>
      <c r="DOO4" s="299"/>
      <c r="DOP4" s="297"/>
      <c r="DOQ4" s="297"/>
      <c r="DOR4" s="299"/>
      <c r="DOS4" s="299"/>
      <c r="DOT4" s="297"/>
      <c r="DOU4" s="297"/>
      <c r="DOV4" s="297"/>
      <c r="DOW4" s="16"/>
      <c r="DOX4" s="16"/>
      <c r="DOY4" s="16"/>
      <c r="DOZ4" s="16"/>
      <c r="DPB4" s="297"/>
      <c r="DPC4" s="298"/>
      <c r="DPD4" s="298"/>
      <c r="DPE4" s="297"/>
      <c r="DPF4" s="297"/>
      <c r="DPG4" s="297"/>
      <c r="DPH4" s="298"/>
      <c r="DPI4" s="299"/>
      <c r="DPJ4" s="297"/>
      <c r="DPK4" s="297"/>
      <c r="DPL4" s="299"/>
      <c r="DPM4" s="299"/>
      <c r="DPN4" s="297"/>
      <c r="DPO4" s="297"/>
      <c r="DPP4" s="299"/>
      <c r="DPQ4" s="299"/>
      <c r="DPR4" s="297"/>
      <c r="DPS4" s="297"/>
      <c r="DPT4" s="297"/>
      <c r="DPU4" s="16"/>
      <c r="DPV4" s="16"/>
      <c r="DPW4" s="16"/>
      <c r="DPX4" s="16"/>
      <c r="DPZ4" s="297"/>
      <c r="DQA4" s="298"/>
      <c r="DQB4" s="298"/>
      <c r="DQC4" s="297"/>
      <c r="DQD4" s="297"/>
      <c r="DQE4" s="297"/>
      <c r="DQF4" s="298"/>
      <c r="DQG4" s="299"/>
      <c r="DQH4" s="297"/>
      <c r="DQI4" s="297"/>
      <c r="DQJ4" s="299"/>
      <c r="DQK4" s="299"/>
      <c r="DQL4" s="297"/>
      <c r="DQM4" s="297"/>
      <c r="DQN4" s="299"/>
      <c r="DQO4" s="299"/>
      <c r="DQP4" s="297"/>
      <c r="DQQ4" s="297"/>
      <c r="DQR4" s="297"/>
      <c r="DQS4" s="16"/>
      <c r="DQT4" s="16"/>
      <c r="DQU4" s="16"/>
      <c r="DQV4" s="16"/>
      <c r="DQX4" s="297"/>
      <c r="DQY4" s="298"/>
      <c r="DQZ4" s="298"/>
      <c r="DRA4" s="297"/>
      <c r="DRB4" s="297"/>
      <c r="DRC4" s="297"/>
      <c r="DRD4" s="298"/>
      <c r="DRE4" s="299"/>
      <c r="DRF4" s="297"/>
      <c r="DRG4" s="297"/>
      <c r="DRH4" s="299"/>
      <c r="DRI4" s="299"/>
      <c r="DRJ4" s="297"/>
      <c r="DRK4" s="297"/>
      <c r="DRL4" s="299"/>
      <c r="DRM4" s="299"/>
      <c r="DRN4" s="297"/>
      <c r="DRO4" s="297"/>
      <c r="DRP4" s="297"/>
      <c r="DRQ4" s="16"/>
      <c r="DRR4" s="16"/>
      <c r="DRS4" s="16"/>
      <c r="DRT4" s="16"/>
      <c r="DRV4" s="297"/>
      <c r="DRW4" s="298"/>
      <c r="DRX4" s="298"/>
      <c r="DRY4" s="297"/>
      <c r="DRZ4" s="297"/>
      <c r="DSA4" s="297"/>
      <c r="DSB4" s="298"/>
      <c r="DSC4" s="299"/>
      <c r="DSD4" s="297"/>
      <c r="DSE4" s="297"/>
      <c r="DSF4" s="299"/>
      <c r="DSG4" s="299"/>
      <c r="DSH4" s="297"/>
      <c r="DSI4" s="297"/>
      <c r="DSJ4" s="299"/>
      <c r="DSK4" s="299"/>
      <c r="DSL4" s="297"/>
      <c r="DSM4" s="297"/>
      <c r="DSN4" s="297"/>
      <c r="DSO4" s="16"/>
      <c r="DSP4" s="16"/>
      <c r="DSQ4" s="16"/>
      <c r="DSR4" s="16"/>
      <c r="DST4" s="297"/>
      <c r="DSU4" s="298"/>
      <c r="DSV4" s="298"/>
      <c r="DSW4" s="297"/>
      <c r="DSX4" s="297"/>
      <c r="DSY4" s="297"/>
      <c r="DSZ4" s="298"/>
      <c r="DTA4" s="299"/>
      <c r="DTB4" s="297"/>
      <c r="DTC4" s="297"/>
      <c r="DTD4" s="299"/>
      <c r="DTE4" s="299"/>
      <c r="DTF4" s="297"/>
      <c r="DTG4" s="297"/>
      <c r="DTH4" s="299"/>
      <c r="DTI4" s="299"/>
      <c r="DTJ4" s="297"/>
      <c r="DTK4" s="297"/>
      <c r="DTL4" s="297"/>
      <c r="DTM4" s="16"/>
      <c r="DTN4" s="16"/>
      <c r="DTO4" s="16"/>
      <c r="DTP4" s="16"/>
      <c r="DTR4" s="297"/>
      <c r="DTS4" s="298"/>
      <c r="DTT4" s="298"/>
      <c r="DTU4" s="297"/>
      <c r="DTV4" s="297"/>
      <c r="DTW4" s="297"/>
      <c r="DTX4" s="298"/>
      <c r="DTY4" s="299"/>
      <c r="DTZ4" s="297"/>
      <c r="DUA4" s="297"/>
      <c r="DUB4" s="299"/>
      <c r="DUC4" s="299"/>
      <c r="DUD4" s="297"/>
      <c r="DUE4" s="297"/>
      <c r="DUF4" s="299"/>
      <c r="DUG4" s="299"/>
      <c r="DUH4" s="297"/>
      <c r="DUI4" s="297"/>
      <c r="DUJ4" s="297"/>
      <c r="DUK4" s="16"/>
      <c r="DUL4" s="16"/>
      <c r="DUM4" s="16"/>
      <c r="DUN4" s="16"/>
      <c r="DUP4" s="297"/>
      <c r="DUQ4" s="298"/>
      <c r="DUR4" s="298"/>
      <c r="DUS4" s="297"/>
      <c r="DUT4" s="297"/>
      <c r="DUU4" s="297"/>
      <c r="DUV4" s="298"/>
      <c r="DUW4" s="299"/>
      <c r="DUX4" s="297"/>
      <c r="DUY4" s="297"/>
      <c r="DUZ4" s="299"/>
      <c r="DVA4" s="299"/>
      <c r="DVB4" s="297"/>
      <c r="DVC4" s="297"/>
      <c r="DVD4" s="299"/>
      <c r="DVE4" s="299"/>
      <c r="DVF4" s="297"/>
      <c r="DVG4" s="297"/>
      <c r="DVH4" s="297"/>
      <c r="DVI4" s="16"/>
      <c r="DVJ4" s="16"/>
      <c r="DVK4" s="16"/>
      <c r="DVL4" s="16"/>
      <c r="DVN4" s="297"/>
      <c r="DVO4" s="298"/>
      <c r="DVP4" s="298"/>
      <c r="DVQ4" s="297"/>
      <c r="DVR4" s="297"/>
      <c r="DVS4" s="297"/>
      <c r="DVT4" s="298"/>
      <c r="DVU4" s="299"/>
      <c r="DVV4" s="297"/>
      <c r="DVW4" s="297"/>
      <c r="DVX4" s="299"/>
      <c r="DVY4" s="299"/>
      <c r="DVZ4" s="297"/>
      <c r="DWA4" s="297"/>
      <c r="DWB4" s="299"/>
      <c r="DWC4" s="299"/>
      <c r="DWD4" s="297"/>
      <c r="DWE4" s="297"/>
      <c r="DWF4" s="297"/>
      <c r="DWG4" s="16"/>
      <c r="DWH4" s="16"/>
      <c r="DWI4" s="16"/>
      <c r="DWJ4" s="16"/>
      <c r="DWL4" s="297"/>
      <c r="DWM4" s="298"/>
      <c r="DWN4" s="298"/>
      <c r="DWO4" s="297"/>
      <c r="DWP4" s="297"/>
      <c r="DWQ4" s="297"/>
      <c r="DWR4" s="298"/>
      <c r="DWS4" s="299"/>
      <c r="DWT4" s="297"/>
      <c r="DWU4" s="297"/>
      <c r="DWV4" s="299"/>
      <c r="DWW4" s="299"/>
      <c r="DWX4" s="297"/>
      <c r="DWY4" s="297"/>
      <c r="DWZ4" s="299"/>
      <c r="DXA4" s="299"/>
      <c r="DXB4" s="297"/>
      <c r="DXC4" s="297"/>
      <c r="DXD4" s="297"/>
      <c r="DXE4" s="16"/>
      <c r="DXF4" s="16"/>
      <c r="DXG4" s="16"/>
      <c r="DXH4" s="16"/>
      <c r="DXJ4" s="297"/>
      <c r="DXK4" s="298"/>
      <c r="DXL4" s="298"/>
      <c r="DXM4" s="297"/>
      <c r="DXN4" s="297"/>
      <c r="DXO4" s="297"/>
      <c r="DXP4" s="298"/>
      <c r="DXQ4" s="299"/>
      <c r="DXR4" s="297"/>
      <c r="DXS4" s="297"/>
      <c r="DXT4" s="299"/>
      <c r="DXU4" s="299"/>
      <c r="DXV4" s="297"/>
      <c r="DXW4" s="297"/>
      <c r="DXX4" s="299"/>
      <c r="DXY4" s="299"/>
      <c r="DXZ4" s="297"/>
      <c r="DYA4" s="297"/>
      <c r="DYB4" s="297"/>
      <c r="DYC4" s="16"/>
      <c r="DYD4" s="16"/>
      <c r="DYE4" s="16"/>
      <c r="DYF4" s="16"/>
      <c r="DYH4" s="297"/>
      <c r="DYI4" s="298"/>
      <c r="DYJ4" s="298"/>
      <c r="DYK4" s="297"/>
      <c r="DYL4" s="297"/>
      <c r="DYM4" s="297"/>
      <c r="DYN4" s="298"/>
      <c r="DYO4" s="299"/>
      <c r="DYP4" s="297"/>
      <c r="DYQ4" s="297"/>
      <c r="DYR4" s="299"/>
      <c r="DYS4" s="299"/>
      <c r="DYT4" s="297"/>
      <c r="DYU4" s="297"/>
      <c r="DYV4" s="299"/>
      <c r="DYW4" s="299"/>
      <c r="DYX4" s="297"/>
      <c r="DYY4" s="297"/>
      <c r="DYZ4" s="297"/>
      <c r="DZA4" s="16"/>
      <c r="DZB4" s="16"/>
      <c r="DZC4" s="16"/>
      <c r="DZD4" s="16"/>
      <c r="DZF4" s="297"/>
      <c r="DZG4" s="298"/>
      <c r="DZH4" s="298"/>
      <c r="DZI4" s="297"/>
      <c r="DZJ4" s="297"/>
      <c r="DZK4" s="297"/>
      <c r="DZL4" s="298"/>
      <c r="DZM4" s="299"/>
      <c r="DZN4" s="297"/>
      <c r="DZO4" s="297"/>
      <c r="DZP4" s="299"/>
      <c r="DZQ4" s="299"/>
      <c r="DZR4" s="297"/>
      <c r="DZS4" s="297"/>
      <c r="DZT4" s="299"/>
      <c r="DZU4" s="299"/>
      <c r="DZV4" s="297"/>
      <c r="DZW4" s="297"/>
      <c r="DZX4" s="297"/>
      <c r="DZY4" s="16"/>
      <c r="DZZ4" s="16"/>
      <c r="EAA4" s="16"/>
      <c r="EAB4" s="16"/>
      <c r="EAD4" s="297"/>
      <c r="EAE4" s="298"/>
      <c r="EAF4" s="298"/>
      <c r="EAG4" s="297"/>
      <c r="EAH4" s="297"/>
      <c r="EAI4" s="297"/>
      <c r="EAJ4" s="298"/>
      <c r="EAK4" s="299"/>
      <c r="EAL4" s="297"/>
      <c r="EAM4" s="297"/>
      <c r="EAN4" s="299"/>
      <c r="EAO4" s="299"/>
      <c r="EAP4" s="297"/>
      <c r="EAQ4" s="297"/>
      <c r="EAR4" s="299"/>
      <c r="EAS4" s="299"/>
      <c r="EAT4" s="297"/>
      <c r="EAU4" s="297"/>
      <c r="EAV4" s="297"/>
      <c r="EAW4" s="16"/>
      <c r="EAX4" s="16"/>
      <c r="EAY4" s="16"/>
      <c r="EAZ4" s="16"/>
      <c r="EBB4" s="297"/>
      <c r="EBC4" s="298"/>
      <c r="EBD4" s="298"/>
      <c r="EBE4" s="297"/>
      <c r="EBF4" s="297"/>
      <c r="EBG4" s="297"/>
      <c r="EBH4" s="298"/>
      <c r="EBI4" s="299"/>
      <c r="EBJ4" s="297"/>
      <c r="EBK4" s="297"/>
      <c r="EBL4" s="299"/>
      <c r="EBM4" s="299"/>
      <c r="EBN4" s="297"/>
      <c r="EBO4" s="297"/>
      <c r="EBP4" s="299"/>
      <c r="EBQ4" s="299"/>
      <c r="EBR4" s="297"/>
      <c r="EBS4" s="297"/>
      <c r="EBT4" s="297"/>
      <c r="EBU4" s="16"/>
      <c r="EBV4" s="16"/>
      <c r="EBW4" s="16"/>
      <c r="EBX4" s="16"/>
      <c r="EBZ4" s="297"/>
      <c r="ECA4" s="298"/>
      <c r="ECB4" s="298"/>
      <c r="ECC4" s="297"/>
      <c r="ECD4" s="297"/>
      <c r="ECE4" s="297"/>
      <c r="ECF4" s="298"/>
      <c r="ECG4" s="299"/>
      <c r="ECH4" s="297"/>
      <c r="ECI4" s="297"/>
      <c r="ECJ4" s="299"/>
      <c r="ECK4" s="299"/>
      <c r="ECL4" s="297"/>
      <c r="ECM4" s="297"/>
      <c r="ECN4" s="299"/>
      <c r="ECO4" s="299"/>
      <c r="ECP4" s="297"/>
      <c r="ECQ4" s="297"/>
      <c r="ECR4" s="297"/>
      <c r="ECS4" s="16"/>
      <c r="ECT4" s="16"/>
      <c r="ECU4" s="16"/>
      <c r="ECV4" s="16"/>
      <c r="ECX4" s="297"/>
      <c r="ECY4" s="298"/>
      <c r="ECZ4" s="298"/>
      <c r="EDA4" s="297"/>
      <c r="EDB4" s="297"/>
      <c r="EDC4" s="297"/>
      <c r="EDD4" s="298"/>
      <c r="EDE4" s="299"/>
      <c r="EDF4" s="297"/>
      <c r="EDG4" s="297"/>
      <c r="EDH4" s="299"/>
      <c r="EDI4" s="299"/>
      <c r="EDJ4" s="297"/>
      <c r="EDK4" s="297"/>
      <c r="EDL4" s="299"/>
      <c r="EDM4" s="299"/>
      <c r="EDN4" s="297"/>
      <c r="EDO4" s="297"/>
      <c r="EDP4" s="297"/>
      <c r="EDQ4" s="16"/>
      <c r="EDR4" s="16"/>
      <c r="EDS4" s="16"/>
      <c r="EDT4" s="16"/>
      <c r="EDV4" s="297"/>
      <c r="EDW4" s="298"/>
      <c r="EDX4" s="298"/>
      <c r="EDY4" s="297"/>
      <c r="EDZ4" s="297"/>
      <c r="EEA4" s="297"/>
      <c r="EEB4" s="298"/>
      <c r="EEC4" s="299"/>
      <c r="EED4" s="297"/>
      <c r="EEE4" s="297"/>
      <c r="EEF4" s="299"/>
      <c r="EEG4" s="299"/>
      <c r="EEH4" s="297"/>
      <c r="EEI4" s="297"/>
      <c r="EEJ4" s="299"/>
      <c r="EEK4" s="299"/>
      <c r="EEL4" s="297"/>
      <c r="EEM4" s="297"/>
      <c r="EEN4" s="297"/>
      <c r="EEO4" s="16"/>
      <c r="EEP4" s="16"/>
      <c r="EEQ4" s="16"/>
      <c r="EER4" s="16"/>
      <c r="EET4" s="297"/>
      <c r="EEU4" s="298"/>
      <c r="EEV4" s="298"/>
      <c r="EEW4" s="297"/>
      <c r="EEX4" s="297"/>
      <c r="EEY4" s="297"/>
      <c r="EEZ4" s="298"/>
      <c r="EFA4" s="299"/>
      <c r="EFB4" s="297"/>
      <c r="EFC4" s="297"/>
      <c r="EFD4" s="299"/>
      <c r="EFE4" s="299"/>
      <c r="EFF4" s="297"/>
      <c r="EFG4" s="297"/>
      <c r="EFH4" s="299"/>
      <c r="EFI4" s="299"/>
      <c r="EFJ4" s="297"/>
      <c r="EFK4" s="297"/>
      <c r="EFL4" s="297"/>
      <c r="EFM4" s="16"/>
      <c r="EFN4" s="16"/>
      <c r="EFO4" s="16"/>
      <c r="EFP4" s="16"/>
      <c r="EFR4" s="297"/>
      <c r="EFS4" s="298"/>
      <c r="EFT4" s="298"/>
      <c r="EFU4" s="297"/>
      <c r="EFV4" s="297"/>
      <c r="EFW4" s="297"/>
      <c r="EFX4" s="298"/>
      <c r="EFY4" s="299"/>
      <c r="EFZ4" s="297"/>
      <c r="EGA4" s="297"/>
      <c r="EGB4" s="299"/>
      <c r="EGC4" s="299"/>
      <c r="EGD4" s="297"/>
      <c r="EGE4" s="297"/>
      <c r="EGF4" s="299"/>
      <c r="EGG4" s="299"/>
      <c r="EGH4" s="297"/>
      <c r="EGI4" s="297"/>
      <c r="EGJ4" s="297"/>
      <c r="EGK4" s="16"/>
      <c r="EGL4" s="16"/>
      <c r="EGM4" s="16"/>
      <c r="EGN4" s="16"/>
      <c r="EGP4" s="297"/>
      <c r="EGQ4" s="298"/>
      <c r="EGR4" s="298"/>
      <c r="EGS4" s="297"/>
      <c r="EGT4" s="297"/>
      <c r="EGU4" s="297"/>
      <c r="EGV4" s="298"/>
      <c r="EGW4" s="299"/>
      <c r="EGX4" s="297"/>
      <c r="EGY4" s="297"/>
      <c r="EGZ4" s="299"/>
      <c r="EHA4" s="299"/>
      <c r="EHB4" s="297"/>
      <c r="EHC4" s="297"/>
      <c r="EHD4" s="299"/>
      <c r="EHE4" s="299"/>
      <c r="EHF4" s="297"/>
      <c r="EHG4" s="297"/>
      <c r="EHH4" s="297"/>
      <c r="EHI4" s="16"/>
      <c r="EHJ4" s="16"/>
      <c r="EHK4" s="16"/>
      <c r="EHL4" s="16"/>
      <c r="EHN4" s="297"/>
      <c r="EHO4" s="298"/>
      <c r="EHP4" s="298"/>
      <c r="EHQ4" s="297"/>
      <c r="EHR4" s="297"/>
      <c r="EHS4" s="297"/>
      <c r="EHT4" s="298"/>
      <c r="EHU4" s="299"/>
      <c r="EHV4" s="297"/>
      <c r="EHW4" s="297"/>
      <c r="EHX4" s="299"/>
      <c r="EHY4" s="299"/>
      <c r="EHZ4" s="297"/>
      <c r="EIA4" s="297"/>
      <c r="EIB4" s="299"/>
      <c r="EIC4" s="299"/>
      <c r="EID4" s="297"/>
      <c r="EIE4" s="297"/>
      <c r="EIF4" s="297"/>
      <c r="EIG4" s="16"/>
      <c r="EIH4" s="16"/>
      <c r="EII4" s="16"/>
      <c r="EIJ4" s="16"/>
      <c r="EIL4" s="297"/>
      <c r="EIM4" s="298"/>
      <c r="EIN4" s="298"/>
      <c r="EIO4" s="297"/>
      <c r="EIP4" s="297"/>
      <c r="EIQ4" s="297"/>
      <c r="EIR4" s="298"/>
      <c r="EIS4" s="299"/>
      <c r="EIT4" s="297"/>
      <c r="EIU4" s="297"/>
      <c r="EIV4" s="299"/>
      <c r="EIW4" s="299"/>
      <c r="EIX4" s="297"/>
      <c r="EIY4" s="297"/>
      <c r="EIZ4" s="299"/>
      <c r="EJA4" s="299"/>
      <c r="EJB4" s="297"/>
      <c r="EJC4" s="297"/>
      <c r="EJD4" s="297"/>
      <c r="EJE4" s="16"/>
      <c r="EJF4" s="16"/>
      <c r="EJG4" s="16"/>
      <c r="EJH4" s="16"/>
      <c r="EJJ4" s="297"/>
      <c r="EJK4" s="298"/>
      <c r="EJL4" s="298"/>
      <c r="EJM4" s="297"/>
      <c r="EJN4" s="297"/>
      <c r="EJO4" s="297"/>
      <c r="EJP4" s="298"/>
      <c r="EJQ4" s="299"/>
      <c r="EJR4" s="297"/>
      <c r="EJS4" s="297"/>
      <c r="EJT4" s="299"/>
      <c r="EJU4" s="299"/>
      <c r="EJV4" s="297"/>
      <c r="EJW4" s="297"/>
      <c r="EJX4" s="299"/>
      <c r="EJY4" s="299"/>
      <c r="EJZ4" s="297"/>
      <c r="EKA4" s="297"/>
      <c r="EKB4" s="297"/>
      <c r="EKC4" s="16"/>
      <c r="EKD4" s="16"/>
      <c r="EKE4" s="16"/>
      <c r="EKF4" s="16"/>
      <c r="EKH4" s="297"/>
      <c r="EKI4" s="298"/>
      <c r="EKJ4" s="298"/>
      <c r="EKK4" s="297"/>
      <c r="EKL4" s="297"/>
      <c r="EKM4" s="297"/>
      <c r="EKN4" s="298"/>
      <c r="EKO4" s="299"/>
      <c r="EKP4" s="297"/>
      <c r="EKQ4" s="297"/>
      <c r="EKR4" s="299"/>
      <c r="EKS4" s="299"/>
      <c r="EKT4" s="297"/>
      <c r="EKU4" s="297"/>
      <c r="EKV4" s="299"/>
      <c r="EKW4" s="299"/>
      <c r="EKX4" s="297"/>
      <c r="EKY4" s="297"/>
      <c r="EKZ4" s="297"/>
      <c r="ELA4" s="16"/>
      <c r="ELB4" s="16"/>
      <c r="ELC4" s="16"/>
      <c r="ELD4" s="16"/>
      <c r="ELF4" s="297"/>
      <c r="ELG4" s="298"/>
      <c r="ELH4" s="298"/>
      <c r="ELI4" s="297"/>
      <c r="ELJ4" s="297"/>
      <c r="ELK4" s="297"/>
      <c r="ELL4" s="298"/>
      <c r="ELM4" s="299"/>
      <c r="ELN4" s="297"/>
      <c r="ELO4" s="297"/>
      <c r="ELP4" s="299"/>
      <c r="ELQ4" s="299"/>
      <c r="ELR4" s="297"/>
      <c r="ELS4" s="297"/>
      <c r="ELT4" s="299"/>
      <c r="ELU4" s="299"/>
      <c r="ELV4" s="297"/>
      <c r="ELW4" s="297"/>
      <c r="ELX4" s="297"/>
      <c r="ELY4" s="16"/>
      <c r="ELZ4" s="16"/>
      <c r="EMA4" s="16"/>
      <c r="EMB4" s="16"/>
      <c r="EMD4" s="297"/>
      <c r="EME4" s="298"/>
      <c r="EMF4" s="298"/>
      <c r="EMG4" s="297"/>
      <c r="EMH4" s="297"/>
      <c r="EMI4" s="297"/>
      <c r="EMJ4" s="298"/>
      <c r="EMK4" s="299"/>
      <c r="EML4" s="297"/>
      <c r="EMM4" s="297"/>
      <c r="EMN4" s="299"/>
      <c r="EMO4" s="299"/>
      <c r="EMP4" s="297"/>
      <c r="EMQ4" s="297"/>
      <c r="EMR4" s="299"/>
      <c r="EMS4" s="299"/>
      <c r="EMT4" s="297"/>
      <c r="EMU4" s="297"/>
      <c r="EMV4" s="297"/>
      <c r="EMW4" s="16"/>
      <c r="EMX4" s="16"/>
      <c r="EMY4" s="16"/>
      <c r="EMZ4" s="16"/>
      <c r="ENB4" s="297"/>
      <c r="ENC4" s="298"/>
      <c r="END4" s="298"/>
      <c r="ENE4" s="297"/>
      <c r="ENF4" s="297"/>
      <c r="ENG4" s="297"/>
      <c r="ENH4" s="298"/>
      <c r="ENI4" s="299"/>
      <c r="ENJ4" s="297"/>
      <c r="ENK4" s="297"/>
      <c r="ENL4" s="299"/>
      <c r="ENM4" s="299"/>
      <c r="ENN4" s="297"/>
      <c r="ENO4" s="297"/>
      <c r="ENP4" s="299"/>
      <c r="ENQ4" s="299"/>
      <c r="ENR4" s="297"/>
      <c r="ENS4" s="297"/>
      <c r="ENT4" s="297"/>
      <c r="ENU4" s="16"/>
      <c r="ENV4" s="16"/>
      <c r="ENW4" s="16"/>
      <c r="ENX4" s="16"/>
      <c r="ENZ4" s="297"/>
      <c r="EOA4" s="298"/>
      <c r="EOB4" s="298"/>
      <c r="EOC4" s="297"/>
      <c r="EOD4" s="297"/>
      <c r="EOE4" s="297"/>
      <c r="EOF4" s="298"/>
      <c r="EOG4" s="299"/>
      <c r="EOH4" s="297"/>
      <c r="EOI4" s="297"/>
      <c r="EOJ4" s="299"/>
      <c r="EOK4" s="299"/>
      <c r="EOL4" s="297"/>
      <c r="EOM4" s="297"/>
      <c r="EON4" s="299"/>
      <c r="EOO4" s="299"/>
      <c r="EOP4" s="297"/>
      <c r="EOQ4" s="297"/>
      <c r="EOR4" s="297"/>
      <c r="EOS4" s="16"/>
      <c r="EOT4" s="16"/>
      <c r="EOU4" s="16"/>
      <c r="EOV4" s="16"/>
      <c r="EOX4" s="297"/>
      <c r="EOY4" s="298"/>
      <c r="EOZ4" s="298"/>
      <c r="EPA4" s="297"/>
      <c r="EPB4" s="297"/>
      <c r="EPC4" s="297"/>
      <c r="EPD4" s="298"/>
      <c r="EPE4" s="299"/>
      <c r="EPF4" s="297"/>
      <c r="EPG4" s="297"/>
      <c r="EPH4" s="299"/>
      <c r="EPI4" s="299"/>
      <c r="EPJ4" s="297"/>
      <c r="EPK4" s="297"/>
      <c r="EPL4" s="299"/>
      <c r="EPM4" s="299"/>
      <c r="EPN4" s="297"/>
      <c r="EPO4" s="297"/>
      <c r="EPP4" s="297"/>
      <c r="EPQ4" s="16"/>
      <c r="EPR4" s="16"/>
      <c r="EPS4" s="16"/>
      <c r="EPT4" s="16"/>
      <c r="EPV4" s="297"/>
      <c r="EPW4" s="298"/>
      <c r="EPX4" s="298"/>
      <c r="EPY4" s="297"/>
      <c r="EPZ4" s="297"/>
      <c r="EQA4" s="297"/>
      <c r="EQB4" s="298"/>
      <c r="EQC4" s="299"/>
      <c r="EQD4" s="297"/>
      <c r="EQE4" s="297"/>
      <c r="EQF4" s="299"/>
      <c r="EQG4" s="299"/>
      <c r="EQH4" s="297"/>
      <c r="EQI4" s="297"/>
      <c r="EQJ4" s="299"/>
      <c r="EQK4" s="299"/>
      <c r="EQL4" s="297"/>
      <c r="EQM4" s="297"/>
      <c r="EQN4" s="297"/>
      <c r="EQO4" s="16"/>
      <c r="EQP4" s="16"/>
      <c r="EQQ4" s="16"/>
      <c r="EQR4" s="16"/>
      <c r="EQT4" s="297"/>
      <c r="EQU4" s="298"/>
      <c r="EQV4" s="298"/>
      <c r="EQW4" s="297"/>
      <c r="EQX4" s="297"/>
      <c r="EQY4" s="297"/>
      <c r="EQZ4" s="298"/>
      <c r="ERA4" s="299"/>
      <c r="ERB4" s="297"/>
      <c r="ERC4" s="297"/>
      <c r="ERD4" s="299"/>
      <c r="ERE4" s="299"/>
      <c r="ERF4" s="297"/>
      <c r="ERG4" s="297"/>
      <c r="ERH4" s="299"/>
      <c r="ERI4" s="299"/>
      <c r="ERJ4" s="297"/>
      <c r="ERK4" s="297"/>
      <c r="ERL4" s="297"/>
      <c r="ERM4" s="16"/>
      <c r="ERN4" s="16"/>
      <c r="ERO4" s="16"/>
      <c r="ERP4" s="16"/>
      <c r="ERR4" s="297"/>
      <c r="ERS4" s="298"/>
      <c r="ERT4" s="298"/>
      <c r="ERU4" s="297"/>
      <c r="ERV4" s="297"/>
      <c r="ERW4" s="297"/>
      <c r="ERX4" s="298"/>
      <c r="ERY4" s="299"/>
      <c r="ERZ4" s="297"/>
      <c r="ESA4" s="297"/>
      <c r="ESB4" s="299"/>
      <c r="ESC4" s="299"/>
      <c r="ESD4" s="297"/>
      <c r="ESE4" s="297"/>
      <c r="ESF4" s="299"/>
      <c r="ESG4" s="299"/>
      <c r="ESH4" s="297"/>
      <c r="ESI4" s="297"/>
      <c r="ESJ4" s="297"/>
      <c r="ESK4" s="16"/>
      <c r="ESL4" s="16"/>
      <c r="ESM4" s="16"/>
      <c r="ESN4" s="16"/>
      <c r="ESP4" s="297"/>
      <c r="ESQ4" s="298"/>
      <c r="ESR4" s="298"/>
      <c r="ESS4" s="297"/>
      <c r="EST4" s="297"/>
      <c r="ESU4" s="297"/>
      <c r="ESV4" s="298"/>
      <c r="ESW4" s="299"/>
      <c r="ESX4" s="297"/>
      <c r="ESY4" s="297"/>
      <c r="ESZ4" s="299"/>
      <c r="ETA4" s="299"/>
      <c r="ETB4" s="297"/>
      <c r="ETC4" s="297"/>
      <c r="ETD4" s="299"/>
      <c r="ETE4" s="299"/>
      <c r="ETF4" s="297"/>
      <c r="ETG4" s="297"/>
      <c r="ETH4" s="297"/>
      <c r="ETI4" s="16"/>
      <c r="ETJ4" s="16"/>
      <c r="ETK4" s="16"/>
      <c r="ETL4" s="16"/>
      <c r="ETN4" s="297"/>
      <c r="ETO4" s="298"/>
      <c r="ETP4" s="298"/>
      <c r="ETQ4" s="297"/>
      <c r="ETR4" s="297"/>
      <c r="ETS4" s="297"/>
      <c r="ETT4" s="298"/>
      <c r="ETU4" s="299"/>
      <c r="ETV4" s="297"/>
      <c r="ETW4" s="297"/>
      <c r="ETX4" s="299"/>
      <c r="ETY4" s="299"/>
      <c r="ETZ4" s="297"/>
      <c r="EUA4" s="297"/>
      <c r="EUB4" s="299"/>
      <c r="EUC4" s="299"/>
      <c r="EUD4" s="297"/>
      <c r="EUE4" s="297"/>
      <c r="EUF4" s="297"/>
      <c r="EUG4" s="16"/>
      <c r="EUH4" s="16"/>
      <c r="EUI4" s="16"/>
      <c r="EUJ4" s="16"/>
      <c r="EUL4" s="297"/>
      <c r="EUM4" s="298"/>
      <c r="EUN4" s="298"/>
      <c r="EUO4" s="297"/>
      <c r="EUP4" s="297"/>
      <c r="EUQ4" s="297"/>
      <c r="EUR4" s="298"/>
      <c r="EUS4" s="299"/>
      <c r="EUT4" s="297"/>
      <c r="EUU4" s="297"/>
      <c r="EUV4" s="299"/>
      <c r="EUW4" s="299"/>
      <c r="EUX4" s="297"/>
      <c r="EUY4" s="297"/>
      <c r="EUZ4" s="299"/>
      <c r="EVA4" s="299"/>
      <c r="EVB4" s="297"/>
      <c r="EVC4" s="297"/>
      <c r="EVD4" s="297"/>
      <c r="EVE4" s="16"/>
      <c r="EVF4" s="16"/>
      <c r="EVG4" s="16"/>
      <c r="EVH4" s="16"/>
      <c r="EVJ4" s="297"/>
      <c r="EVK4" s="298"/>
      <c r="EVL4" s="298"/>
      <c r="EVM4" s="297"/>
      <c r="EVN4" s="297"/>
      <c r="EVO4" s="297"/>
      <c r="EVP4" s="298"/>
      <c r="EVQ4" s="299"/>
      <c r="EVR4" s="297"/>
      <c r="EVS4" s="297"/>
      <c r="EVT4" s="299"/>
      <c r="EVU4" s="299"/>
      <c r="EVV4" s="297"/>
      <c r="EVW4" s="297"/>
      <c r="EVX4" s="299"/>
      <c r="EVY4" s="299"/>
      <c r="EVZ4" s="297"/>
      <c r="EWA4" s="297"/>
      <c r="EWB4" s="297"/>
      <c r="EWC4" s="16"/>
      <c r="EWD4" s="16"/>
      <c r="EWE4" s="16"/>
      <c r="EWF4" s="16"/>
      <c r="EWH4" s="297"/>
      <c r="EWI4" s="298"/>
      <c r="EWJ4" s="298"/>
      <c r="EWK4" s="297"/>
      <c r="EWL4" s="297"/>
      <c r="EWM4" s="297"/>
      <c r="EWN4" s="298"/>
      <c r="EWO4" s="299"/>
      <c r="EWP4" s="297"/>
      <c r="EWQ4" s="297"/>
      <c r="EWR4" s="299"/>
      <c r="EWS4" s="299"/>
      <c r="EWT4" s="297"/>
      <c r="EWU4" s="297"/>
      <c r="EWV4" s="299"/>
      <c r="EWW4" s="299"/>
      <c r="EWX4" s="297"/>
      <c r="EWY4" s="297"/>
      <c r="EWZ4" s="297"/>
      <c r="EXA4" s="16"/>
      <c r="EXB4" s="16"/>
      <c r="EXC4" s="16"/>
      <c r="EXD4" s="16"/>
      <c r="EXF4" s="297"/>
      <c r="EXG4" s="298"/>
      <c r="EXH4" s="298"/>
      <c r="EXI4" s="297"/>
      <c r="EXJ4" s="297"/>
      <c r="EXK4" s="297"/>
      <c r="EXL4" s="298"/>
      <c r="EXM4" s="299"/>
      <c r="EXN4" s="297"/>
      <c r="EXO4" s="297"/>
      <c r="EXP4" s="299"/>
      <c r="EXQ4" s="299"/>
      <c r="EXR4" s="297"/>
      <c r="EXS4" s="297"/>
      <c r="EXT4" s="299"/>
      <c r="EXU4" s="299"/>
      <c r="EXV4" s="297"/>
      <c r="EXW4" s="297"/>
      <c r="EXX4" s="297"/>
      <c r="EXY4" s="16"/>
      <c r="EXZ4" s="16"/>
      <c r="EYA4" s="16"/>
      <c r="EYB4" s="16"/>
      <c r="EYD4" s="297"/>
      <c r="EYE4" s="298"/>
      <c r="EYF4" s="298"/>
      <c r="EYG4" s="297"/>
      <c r="EYH4" s="297"/>
      <c r="EYI4" s="297"/>
      <c r="EYJ4" s="298"/>
      <c r="EYK4" s="299"/>
      <c r="EYL4" s="297"/>
      <c r="EYM4" s="297"/>
      <c r="EYN4" s="299"/>
      <c r="EYO4" s="299"/>
      <c r="EYP4" s="297"/>
      <c r="EYQ4" s="297"/>
      <c r="EYR4" s="299"/>
      <c r="EYS4" s="299"/>
      <c r="EYT4" s="297"/>
      <c r="EYU4" s="297"/>
      <c r="EYV4" s="297"/>
      <c r="EYW4" s="16"/>
      <c r="EYX4" s="16"/>
      <c r="EYY4" s="16"/>
      <c r="EYZ4" s="16"/>
      <c r="EZB4" s="297"/>
      <c r="EZC4" s="298"/>
      <c r="EZD4" s="298"/>
      <c r="EZE4" s="297"/>
      <c r="EZF4" s="297"/>
      <c r="EZG4" s="297"/>
      <c r="EZH4" s="298"/>
      <c r="EZI4" s="299"/>
      <c r="EZJ4" s="297"/>
      <c r="EZK4" s="297"/>
      <c r="EZL4" s="299"/>
      <c r="EZM4" s="299"/>
      <c r="EZN4" s="297"/>
      <c r="EZO4" s="297"/>
      <c r="EZP4" s="299"/>
      <c r="EZQ4" s="299"/>
      <c r="EZR4" s="297"/>
      <c r="EZS4" s="297"/>
      <c r="EZT4" s="297"/>
      <c r="EZU4" s="16"/>
      <c r="EZV4" s="16"/>
      <c r="EZW4" s="16"/>
      <c r="EZX4" s="16"/>
      <c r="EZZ4" s="297"/>
      <c r="FAA4" s="298"/>
      <c r="FAB4" s="298"/>
      <c r="FAC4" s="297"/>
      <c r="FAD4" s="297"/>
      <c r="FAE4" s="297"/>
      <c r="FAF4" s="298"/>
      <c r="FAG4" s="299"/>
      <c r="FAH4" s="297"/>
      <c r="FAI4" s="297"/>
      <c r="FAJ4" s="299"/>
      <c r="FAK4" s="299"/>
      <c r="FAL4" s="297"/>
      <c r="FAM4" s="297"/>
      <c r="FAN4" s="299"/>
      <c r="FAO4" s="299"/>
      <c r="FAP4" s="297"/>
      <c r="FAQ4" s="297"/>
      <c r="FAR4" s="297"/>
      <c r="FAS4" s="16"/>
      <c r="FAT4" s="16"/>
      <c r="FAU4" s="16"/>
      <c r="FAV4" s="16"/>
      <c r="FAX4" s="297"/>
      <c r="FAY4" s="298"/>
      <c r="FAZ4" s="298"/>
      <c r="FBA4" s="297"/>
      <c r="FBB4" s="297"/>
      <c r="FBC4" s="297"/>
      <c r="FBD4" s="298"/>
      <c r="FBE4" s="299"/>
      <c r="FBF4" s="297"/>
      <c r="FBG4" s="297"/>
      <c r="FBH4" s="299"/>
      <c r="FBI4" s="299"/>
      <c r="FBJ4" s="297"/>
      <c r="FBK4" s="297"/>
      <c r="FBL4" s="299"/>
      <c r="FBM4" s="299"/>
      <c r="FBN4" s="297"/>
      <c r="FBO4" s="297"/>
      <c r="FBP4" s="297"/>
      <c r="FBQ4" s="16"/>
      <c r="FBR4" s="16"/>
      <c r="FBS4" s="16"/>
      <c r="FBT4" s="16"/>
      <c r="FBV4" s="297"/>
      <c r="FBW4" s="298"/>
      <c r="FBX4" s="298"/>
      <c r="FBY4" s="297"/>
      <c r="FBZ4" s="297"/>
      <c r="FCA4" s="297"/>
      <c r="FCB4" s="298"/>
      <c r="FCC4" s="299"/>
      <c r="FCD4" s="297"/>
      <c r="FCE4" s="297"/>
      <c r="FCF4" s="299"/>
      <c r="FCG4" s="299"/>
      <c r="FCH4" s="297"/>
      <c r="FCI4" s="297"/>
      <c r="FCJ4" s="299"/>
      <c r="FCK4" s="299"/>
      <c r="FCL4" s="297"/>
      <c r="FCM4" s="297"/>
      <c r="FCN4" s="297"/>
      <c r="FCO4" s="16"/>
      <c r="FCP4" s="16"/>
      <c r="FCQ4" s="16"/>
      <c r="FCR4" s="16"/>
      <c r="FCT4" s="297"/>
      <c r="FCU4" s="298"/>
      <c r="FCV4" s="298"/>
      <c r="FCW4" s="297"/>
      <c r="FCX4" s="297"/>
      <c r="FCY4" s="297"/>
      <c r="FCZ4" s="298"/>
      <c r="FDA4" s="299"/>
      <c r="FDB4" s="297"/>
      <c r="FDC4" s="297"/>
      <c r="FDD4" s="299"/>
      <c r="FDE4" s="299"/>
      <c r="FDF4" s="297"/>
      <c r="FDG4" s="297"/>
      <c r="FDH4" s="299"/>
      <c r="FDI4" s="299"/>
      <c r="FDJ4" s="297"/>
      <c r="FDK4" s="297"/>
      <c r="FDL4" s="297"/>
      <c r="FDM4" s="16"/>
      <c r="FDN4" s="16"/>
      <c r="FDO4" s="16"/>
      <c r="FDP4" s="16"/>
      <c r="FDR4" s="297"/>
      <c r="FDS4" s="298"/>
      <c r="FDT4" s="298"/>
      <c r="FDU4" s="297"/>
      <c r="FDV4" s="297"/>
      <c r="FDW4" s="297"/>
      <c r="FDX4" s="298"/>
      <c r="FDY4" s="299"/>
      <c r="FDZ4" s="297"/>
      <c r="FEA4" s="297"/>
      <c r="FEB4" s="299"/>
      <c r="FEC4" s="299"/>
      <c r="FED4" s="297"/>
      <c r="FEE4" s="297"/>
      <c r="FEF4" s="299"/>
      <c r="FEG4" s="299"/>
      <c r="FEH4" s="297"/>
      <c r="FEI4" s="297"/>
      <c r="FEJ4" s="297"/>
      <c r="FEK4" s="16"/>
      <c r="FEL4" s="16"/>
      <c r="FEM4" s="16"/>
      <c r="FEN4" s="16"/>
      <c r="FEP4" s="297"/>
      <c r="FEQ4" s="298"/>
      <c r="FER4" s="298"/>
      <c r="FES4" s="297"/>
      <c r="FET4" s="297"/>
      <c r="FEU4" s="297"/>
      <c r="FEV4" s="298"/>
      <c r="FEW4" s="299"/>
      <c r="FEX4" s="297"/>
      <c r="FEY4" s="297"/>
      <c r="FEZ4" s="299"/>
      <c r="FFA4" s="299"/>
      <c r="FFB4" s="297"/>
      <c r="FFC4" s="297"/>
      <c r="FFD4" s="299"/>
      <c r="FFE4" s="299"/>
      <c r="FFF4" s="297"/>
      <c r="FFG4" s="297"/>
      <c r="FFH4" s="297"/>
      <c r="FFI4" s="16"/>
      <c r="FFJ4" s="16"/>
      <c r="FFK4" s="16"/>
      <c r="FFL4" s="16"/>
      <c r="FFN4" s="297"/>
      <c r="FFO4" s="298"/>
      <c r="FFP4" s="298"/>
      <c r="FFQ4" s="297"/>
      <c r="FFR4" s="297"/>
      <c r="FFS4" s="297"/>
      <c r="FFT4" s="298"/>
      <c r="FFU4" s="299"/>
      <c r="FFV4" s="297"/>
      <c r="FFW4" s="297"/>
      <c r="FFX4" s="299"/>
      <c r="FFY4" s="299"/>
      <c r="FFZ4" s="297"/>
      <c r="FGA4" s="297"/>
      <c r="FGB4" s="299"/>
      <c r="FGC4" s="299"/>
      <c r="FGD4" s="297"/>
      <c r="FGE4" s="297"/>
      <c r="FGF4" s="297"/>
      <c r="FGG4" s="16"/>
      <c r="FGH4" s="16"/>
      <c r="FGI4" s="16"/>
      <c r="FGJ4" s="16"/>
      <c r="FGL4" s="297"/>
      <c r="FGM4" s="298"/>
      <c r="FGN4" s="298"/>
      <c r="FGO4" s="297"/>
      <c r="FGP4" s="297"/>
      <c r="FGQ4" s="297"/>
      <c r="FGR4" s="298"/>
      <c r="FGS4" s="299"/>
      <c r="FGT4" s="297"/>
      <c r="FGU4" s="297"/>
      <c r="FGV4" s="299"/>
      <c r="FGW4" s="299"/>
      <c r="FGX4" s="297"/>
      <c r="FGY4" s="297"/>
      <c r="FGZ4" s="299"/>
      <c r="FHA4" s="299"/>
      <c r="FHB4" s="297"/>
      <c r="FHC4" s="297"/>
      <c r="FHD4" s="297"/>
      <c r="FHE4" s="16"/>
      <c r="FHF4" s="16"/>
      <c r="FHG4" s="16"/>
      <c r="FHH4" s="16"/>
      <c r="FHJ4" s="297"/>
      <c r="FHK4" s="298"/>
      <c r="FHL4" s="298"/>
      <c r="FHM4" s="297"/>
      <c r="FHN4" s="297"/>
      <c r="FHO4" s="297"/>
      <c r="FHP4" s="298"/>
      <c r="FHQ4" s="299"/>
      <c r="FHR4" s="297"/>
      <c r="FHS4" s="297"/>
      <c r="FHT4" s="299"/>
      <c r="FHU4" s="299"/>
      <c r="FHV4" s="297"/>
      <c r="FHW4" s="297"/>
      <c r="FHX4" s="299"/>
      <c r="FHY4" s="299"/>
      <c r="FHZ4" s="297"/>
      <c r="FIA4" s="297"/>
      <c r="FIB4" s="297"/>
      <c r="FIC4" s="16"/>
      <c r="FID4" s="16"/>
      <c r="FIE4" s="16"/>
      <c r="FIF4" s="16"/>
      <c r="FIH4" s="297"/>
      <c r="FII4" s="298"/>
      <c r="FIJ4" s="298"/>
      <c r="FIK4" s="297"/>
      <c r="FIL4" s="297"/>
      <c r="FIM4" s="297"/>
      <c r="FIN4" s="298"/>
      <c r="FIO4" s="299"/>
      <c r="FIP4" s="297"/>
      <c r="FIQ4" s="297"/>
      <c r="FIR4" s="299"/>
      <c r="FIS4" s="299"/>
      <c r="FIT4" s="297"/>
      <c r="FIU4" s="297"/>
      <c r="FIV4" s="299"/>
      <c r="FIW4" s="299"/>
      <c r="FIX4" s="297"/>
      <c r="FIY4" s="297"/>
      <c r="FIZ4" s="297"/>
      <c r="FJA4" s="16"/>
      <c r="FJB4" s="16"/>
      <c r="FJC4" s="16"/>
      <c r="FJD4" s="16"/>
      <c r="FJF4" s="297"/>
      <c r="FJG4" s="298"/>
      <c r="FJH4" s="298"/>
      <c r="FJI4" s="297"/>
      <c r="FJJ4" s="297"/>
      <c r="FJK4" s="297"/>
      <c r="FJL4" s="298"/>
      <c r="FJM4" s="299"/>
      <c r="FJN4" s="297"/>
      <c r="FJO4" s="297"/>
      <c r="FJP4" s="299"/>
      <c r="FJQ4" s="299"/>
      <c r="FJR4" s="297"/>
      <c r="FJS4" s="297"/>
      <c r="FJT4" s="299"/>
      <c r="FJU4" s="299"/>
      <c r="FJV4" s="297"/>
      <c r="FJW4" s="297"/>
      <c r="FJX4" s="297"/>
      <c r="FJY4" s="16"/>
      <c r="FJZ4" s="16"/>
      <c r="FKA4" s="16"/>
      <c r="FKB4" s="16"/>
      <c r="FKD4" s="297"/>
      <c r="FKE4" s="298"/>
      <c r="FKF4" s="298"/>
      <c r="FKG4" s="297"/>
      <c r="FKH4" s="297"/>
      <c r="FKI4" s="297"/>
      <c r="FKJ4" s="298"/>
      <c r="FKK4" s="299"/>
      <c r="FKL4" s="297"/>
      <c r="FKM4" s="297"/>
      <c r="FKN4" s="299"/>
      <c r="FKO4" s="299"/>
      <c r="FKP4" s="297"/>
      <c r="FKQ4" s="297"/>
      <c r="FKR4" s="299"/>
      <c r="FKS4" s="299"/>
      <c r="FKT4" s="297"/>
      <c r="FKU4" s="297"/>
      <c r="FKV4" s="297"/>
      <c r="FKW4" s="16"/>
      <c r="FKX4" s="16"/>
      <c r="FKY4" s="16"/>
      <c r="FKZ4" s="16"/>
      <c r="FLB4" s="297"/>
      <c r="FLC4" s="298"/>
      <c r="FLD4" s="298"/>
      <c r="FLE4" s="297"/>
      <c r="FLF4" s="297"/>
      <c r="FLG4" s="297"/>
      <c r="FLH4" s="298"/>
      <c r="FLI4" s="299"/>
      <c r="FLJ4" s="297"/>
      <c r="FLK4" s="297"/>
      <c r="FLL4" s="299"/>
      <c r="FLM4" s="299"/>
      <c r="FLN4" s="297"/>
      <c r="FLO4" s="297"/>
      <c r="FLP4" s="299"/>
      <c r="FLQ4" s="299"/>
      <c r="FLR4" s="297"/>
      <c r="FLS4" s="297"/>
      <c r="FLT4" s="297"/>
      <c r="FLU4" s="16"/>
      <c r="FLV4" s="16"/>
      <c r="FLW4" s="16"/>
      <c r="FLX4" s="16"/>
      <c r="FLZ4" s="297"/>
      <c r="FMA4" s="298"/>
      <c r="FMB4" s="298"/>
      <c r="FMC4" s="297"/>
      <c r="FMD4" s="297"/>
      <c r="FME4" s="297"/>
      <c r="FMF4" s="298"/>
      <c r="FMG4" s="299"/>
      <c r="FMH4" s="297"/>
      <c r="FMI4" s="297"/>
      <c r="FMJ4" s="299"/>
      <c r="FMK4" s="299"/>
      <c r="FML4" s="297"/>
      <c r="FMM4" s="297"/>
      <c r="FMN4" s="299"/>
      <c r="FMO4" s="299"/>
      <c r="FMP4" s="297"/>
      <c r="FMQ4" s="297"/>
      <c r="FMR4" s="297"/>
      <c r="FMS4" s="16"/>
      <c r="FMT4" s="16"/>
      <c r="FMU4" s="16"/>
      <c r="FMV4" s="16"/>
      <c r="FMX4" s="297"/>
      <c r="FMY4" s="298"/>
      <c r="FMZ4" s="298"/>
      <c r="FNA4" s="297"/>
      <c r="FNB4" s="297"/>
      <c r="FNC4" s="297"/>
      <c r="FND4" s="298"/>
      <c r="FNE4" s="299"/>
      <c r="FNF4" s="297"/>
      <c r="FNG4" s="297"/>
      <c r="FNH4" s="299"/>
      <c r="FNI4" s="299"/>
      <c r="FNJ4" s="297"/>
      <c r="FNK4" s="297"/>
      <c r="FNL4" s="299"/>
      <c r="FNM4" s="299"/>
      <c r="FNN4" s="297"/>
      <c r="FNO4" s="297"/>
      <c r="FNP4" s="297"/>
      <c r="FNQ4" s="16"/>
      <c r="FNR4" s="16"/>
      <c r="FNS4" s="16"/>
      <c r="FNT4" s="16"/>
      <c r="FNV4" s="297"/>
      <c r="FNW4" s="298"/>
      <c r="FNX4" s="298"/>
      <c r="FNY4" s="297"/>
      <c r="FNZ4" s="297"/>
      <c r="FOA4" s="297"/>
      <c r="FOB4" s="298"/>
      <c r="FOC4" s="299"/>
      <c r="FOD4" s="297"/>
      <c r="FOE4" s="297"/>
      <c r="FOF4" s="299"/>
      <c r="FOG4" s="299"/>
      <c r="FOH4" s="297"/>
      <c r="FOI4" s="297"/>
      <c r="FOJ4" s="299"/>
      <c r="FOK4" s="299"/>
      <c r="FOL4" s="297"/>
      <c r="FOM4" s="297"/>
      <c r="FON4" s="297"/>
      <c r="FOO4" s="16"/>
      <c r="FOP4" s="16"/>
      <c r="FOQ4" s="16"/>
      <c r="FOR4" s="16"/>
      <c r="FOT4" s="297"/>
      <c r="FOU4" s="298"/>
      <c r="FOV4" s="298"/>
      <c r="FOW4" s="297"/>
      <c r="FOX4" s="297"/>
      <c r="FOY4" s="297"/>
      <c r="FOZ4" s="298"/>
      <c r="FPA4" s="299"/>
      <c r="FPB4" s="297"/>
      <c r="FPC4" s="297"/>
      <c r="FPD4" s="299"/>
      <c r="FPE4" s="299"/>
      <c r="FPF4" s="297"/>
      <c r="FPG4" s="297"/>
      <c r="FPH4" s="299"/>
      <c r="FPI4" s="299"/>
      <c r="FPJ4" s="297"/>
      <c r="FPK4" s="297"/>
      <c r="FPL4" s="297"/>
      <c r="FPM4" s="16"/>
      <c r="FPN4" s="16"/>
      <c r="FPO4" s="16"/>
      <c r="FPP4" s="16"/>
      <c r="FPR4" s="297"/>
      <c r="FPS4" s="298"/>
      <c r="FPT4" s="298"/>
      <c r="FPU4" s="297"/>
      <c r="FPV4" s="297"/>
      <c r="FPW4" s="297"/>
      <c r="FPX4" s="298"/>
      <c r="FPY4" s="299"/>
      <c r="FPZ4" s="297"/>
      <c r="FQA4" s="297"/>
      <c r="FQB4" s="299"/>
      <c r="FQC4" s="299"/>
      <c r="FQD4" s="297"/>
      <c r="FQE4" s="297"/>
      <c r="FQF4" s="299"/>
      <c r="FQG4" s="299"/>
      <c r="FQH4" s="297"/>
      <c r="FQI4" s="297"/>
      <c r="FQJ4" s="297"/>
      <c r="FQK4" s="16"/>
      <c r="FQL4" s="16"/>
      <c r="FQM4" s="16"/>
      <c r="FQN4" s="16"/>
      <c r="FQP4" s="297"/>
      <c r="FQQ4" s="298"/>
      <c r="FQR4" s="298"/>
      <c r="FQS4" s="297"/>
      <c r="FQT4" s="297"/>
      <c r="FQU4" s="297"/>
      <c r="FQV4" s="298"/>
      <c r="FQW4" s="299"/>
      <c r="FQX4" s="297"/>
      <c r="FQY4" s="297"/>
      <c r="FQZ4" s="299"/>
      <c r="FRA4" s="299"/>
      <c r="FRB4" s="297"/>
      <c r="FRC4" s="297"/>
      <c r="FRD4" s="299"/>
      <c r="FRE4" s="299"/>
      <c r="FRF4" s="297"/>
      <c r="FRG4" s="297"/>
      <c r="FRH4" s="297"/>
      <c r="FRI4" s="16"/>
      <c r="FRJ4" s="16"/>
      <c r="FRK4" s="16"/>
      <c r="FRL4" s="16"/>
      <c r="FRN4" s="297"/>
      <c r="FRO4" s="298"/>
      <c r="FRP4" s="298"/>
      <c r="FRQ4" s="297"/>
      <c r="FRR4" s="297"/>
      <c r="FRS4" s="297"/>
      <c r="FRT4" s="298"/>
      <c r="FRU4" s="299"/>
      <c r="FRV4" s="297"/>
      <c r="FRW4" s="297"/>
      <c r="FRX4" s="299"/>
      <c r="FRY4" s="299"/>
      <c r="FRZ4" s="297"/>
      <c r="FSA4" s="297"/>
      <c r="FSB4" s="299"/>
      <c r="FSC4" s="299"/>
      <c r="FSD4" s="297"/>
      <c r="FSE4" s="297"/>
      <c r="FSF4" s="297"/>
      <c r="FSG4" s="16"/>
      <c r="FSH4" s="16"/>
      <c r="FSI4" s="16"/>
      <c r="FSJ4" s="16"/>
      <c r="FSL4" s="297"/>
      <c r="FSM4" s="298"/>
      <c r="FSN4" s="298"/>
      <c r="FSO4" s="297"/>
      <c r="FSP4" s="297"/>
      <c r="FSQ4" s="297"/>
      <c r="FSR4" s="298"/>
      <c r="FSS4" s="299"/>
      <c r="FST4" s="297"/>
      <c r="FSU4" s="297"/>
      <c r="FSV4" s="299"/>
      <c r="FSW4" s="299"/>
      <c r="FSX4" s="297"/>
      <c r="FSY4" s="297"/>
      <c r="FSZ4" s="299"/>
      <c r="FTA4" s="299"/>
      <c r="FTB4" s="297"/>
      <c r="FTC4" s="297"/>
      <c r="FTD4" s="297"/>
      <c r="FTE4" s="16"/>
      <c r="FTF4" s="16"/>
      <c r="FTG4" s="16"/>
      <c r="FTH4" s="16"/>
      <c r="FTJ4" s="297"/>
      <c r="FTK4" s="298"/>
      <c r="FTL4" s="298"/>
      <c r="FTM4" s="297"/>
      <c r="FTN4" s="297"/>
      <c r="FTO4" s="297"/>
      <c r="FTP4" s="298"/>
      <c r="FTQ4" s="299"/>
      <c r="FTR4" s="297"/>
      <c r="FTS4" s="297"/>
      <c r="FTT4" s="299"/>
      <c r="FTU4" s="299"/>
      <c r="FTV4" s="297"/>
      <c r="FTW4" s="297"/>
      <c r="FTX4" s="299"/>
      <c r="FTY4" s="299"/>
      <c r="FTZ4" s="297"/>
      <c r="FUA4" s="297"/>
      <c r="FUB4" s="297"/>
      <c r="FUC4" s="16"/>
      <c r="FUD4" s="16"/>
      <c r="FUE4" s="16"/>
      <c r="FUF4" s="16"/>
      <c r="FUH4" s="297"/>
      <c r="FUI4" s="298"/>
      <c r="FUJ4" s="298"/>
      <c r="FUK4" s="297"/>
      <c r="FUL4" s="297"/>
      <c r="FUM4" s="297"/>
      <c r="FUN4" s="298"/>
      <c r="FUO4" s="299"/>
      <c r="FUP4" s="297"/>
      <c r="FUQ4" s="297"/>
      <c r="FUR4" s="299"/>
      <c r="FUS4" s="299"/>
      <c r="FUT4" s="297"/>
      <c r="FUU4" s="297"/>
      <c r="FUV4" s="299"/>
      <c r="FUW4" s="299"/>
      <c r="FUX4" s="297"/>
      <c r="FUY4" s="297"/>
      <c r="FUZ4" s="297"/>
      <c r="FVA4" s="16"/>
      <c r="FVB4" s="16"/>
      <c r="FVC4" s="16"/>
      <c r="FVD4" s="16"/>
      <c r="FVF4" s="297"/>
      <c r="FVG4" s="298"/>
      <c r="FVH4" s="298"/>
      <c r="FVI4" s="297"/>
      <c r="FVJ4" s="297"/>
      <c r="FVK4" s="297"/>
      <c r="FVL4" s="298"/>
      <c r="FVM4" s="299"/>
      <c r="FVN4" s="297"/>
      <c r="FVO4" s="297"/>
      <c r="FVP4" s="299"/>
      <c r="FVQ4" s="299"/>
      <c r="FVR4" s="297"/>
      <c r="FVS4" s="297"/>
      <c r="FVT4" s="299"/>
      <c r="FVU4" s="299"/>
      <c r="FVV4" s="297"/>
      <c r="FVW4" s="297"/>
      <c r="FVX4" s="297"/>
      <c r="FVY4" s="16"/>
      <c r="FVZ4" s="16"/>
      <c r="FWA4" s="16"/>
      <c r="FWB4" s="16"/>
      <c r="FWD4" s="297"/>
      <c r="FWE4" s="298"/>
      <c r="FWF4" s="298"/>
      <c r="FWG4" s="297"/>
      <c r="FWH4" s="297"/>
      <c r="FWI4" s="297"/>
      <c r="FWJ4" s="298"/>
      <c r="FWK4" s="299"/>
      <c r="FWL4" s="297"/>
      <c r="FWM4" s="297"/>
      <c r="FWN4" s="299"/>
      <c r="FWO4" s="299"/>
      <c r="FWP4" s="297"/>
      <c r="FWQ4" s="297"/>
      <c r="FWR4" s="299"/>
      <c r="FWS4" s="299"/>
      <c r="FWT4" s="297"/>
      <c r="FWU4" s="297"/>
      <c r="FWV4" s="297"/>
      <c r="FWW4" s="16"/>
      <c r="FWX4" s="16"/>
      <c r="FWY4" s="16"/>
      <c r="FWZ4" s="16"/>
      <c r="FXB4" s="297"/>
      <c r="FXC4" s="298"/>
      <c r="FXD4" s="298"/>
      <c r="FXE4" s="297"/>
      <c r="FXF4" s="297"/>
      <c r="FXG4" s="297"/>
      <c r="FXH4" s="298"/>
      <c r="FXI4" s="299"/>
      <c r="FXJ4" s="297"/>
      <c r="FXK4" s="297"/>
      <c r="FXL4" s="299"/>
      <c r="FXM4" s="299"/>
      <c r="FXN4" s="297"/>
      <c r="FXO4" s="297"/>
      <c r="FXP4" s="299"/>
      <c r="FXQ4" s="299"/>
      <c r="FXR4" s="297"/>
      <c r="FXS4" s="297"/>
      <c r="FXT4" s="297"/>
      <c r="FXU4" s="16"/>
      <c r="FXV4" s="16"/>
      <c r="FXW4" s="16"/>
      <c r="FXX4" s="16"/>
      <c r="FXZ4" s="297"/>
      <c r="FYA4" s="298"/>
      <c r="FYB4" s="298"/>
      <c r="FYC4" s="297"/>
      <c r="FYD4" s="297"/>
      <c r="FYE4" s="297"/>
      <c r="FYF4" s="298"/>
      <c r="FYG4" s="299"/>
      <c r="FYH4" s="297"/>
      <c r="FYI4" s="297"/>
      <c r="FYJ4" s="299"/>
      <c r="FYK4" s="299"/>
      <c r="FYL4" s="297"/>
      <c r="FYM4" s="297"/>
      <c r="FYN4" s="299"/>
      <c r="FYO4" s="299"/>
      <c r="FYP4" s="297"/>
      <c r="FYQ4" s="297"/>
      <c r="FYR4" s="297"/>
      <c r="FYS4" s="16"/>
      <c r="FYT4" s="16"/>
      <c r="FYU4" s="16"/>
      <c r="FYV4" s="16"/>
      <c r="FYX4" s="297"/>
      <c r="FYY4" s="298"/>
      <c r="FYZ4" s="298"/>
      <c r="FZA4" s="297"/>
      <c r="FZB4" s="297"/>
      <c r="FZC4" s="297"/>
      <c r="FZD4" s="298"/>
      <c r="FZE4" s="299"/>
      <c r="FZF4" s="297"/>
      <c r="FZG4" s="297"/>
      <c r="FZH4" s="299"/>
      <c r="FZI4" s="299"/>
      <c r="FZJ4" s="297"/>
      <c r="FZK4" s="297"/>
      <c r="FZL4" s="299"/>
      <c r="FZM4" s="299"/>
      <c r="FZN4" s="297"/>
      <c r="FZO4" s="297"/>
      <c r="FZP4" s="297"/>
      <c r="FZQ4" s="16"/>
      <c r="FZR4" s="16"/>
      <c r="FZS4" s="16"/>
      <c r="FZT4" s="16"/>
      <c r="FZV4" s="297"/>
      <c r="FZW4" s="298"/>
      <c r="FZX4" s="298"/>
      <c r="FZY4" s="297"/>
      <c r="FZZ4" s="297"/>
      <c r="GAA4" s="297"/>
      <c r="GAB4" s="298"/>
      <c r="GAC4" s="299"/>
      <c r="GAD4" s="297"/>
      <c r="GAE4" s="297"/>
      <c r="GAF4" s="299"/>
      <c r="GAG4" s="299"/>
      <c r="GAH4" s="297"/>
      <c r="GAI4" s="297"/>
      <c r="GAJ4" s="299"/>
      <c r="GAK4" s="299"/>
      <c r="GAL4" s="297"/>
      <c r="GAM4" s="297"/>
      <c r="GAN4" s="297"/>
      <c r="GAO4" s="16"/>
      <c r="GAP4" s="16"/>
      <c r="GAQ4" s="16"/>
      <c r="GAR4" s="16"/>
      <c r="GAT4" s="297"/>
      <c r="GAU4" s="298"/>
      <c r="GAV4" s="298"/>
      <c r="GAW4" s="297"/>
      <c r="GAX4" s="297"/>
      <c r="GAY4" s="297"/>
      <c r="GAZ4" s="298"/>
      <c r="GBA4" s="299"/>
      <c r="GBB4" s="297"/>
      <c r="GBC4" s="297"/>
      <c r="GBD4" s="299"/>
      <c r="GBE4" s="299"/>
      <c r="GBF4" s="297"/>
      <c r="GBG4" s="297"/>
      <c r="GBH4" s="299"/>
      <c r="GBI4" s="299"/>
      <c r="GBJ4" s="297"/>
      <c r="GBK4" s="297"/>
      <c r="GBL4" s="297"/>
      <c r="GBM4" s="16"/>
      <c r="GBN4" s="16"/>
      <c r="GBO4" s="16"/>
      <c r="GBP4" s="16"/>
      <c r="GBR4" s="297"/>
      <c r="GBS4" s="298"/>
      <c r="GBT4" s="298"/>
      <c r="GBU4" s="297"/>
      <c r="GBV4" s="297"/>
      <c r="GBW4" s="297"/>
      <c r="GBX4" s="298"/>
      <c r="GBY4" s="299"/>
      <c r="GBZ4" s="297"/>
      <c r="GCA4" s="297"/>
      <c r="GCB4" s="299"/>
      <c r="GCC4" s="299"/>
      <c r="GCD4" s="297"/>
      <c r="GCE4" s="297"/>
      <c r="GCF4" s="299"/>
      <c r="GCG4" s="299"/>
      <c r="GCH4" s="297"/>
      <c r="GCI4" s="297"/>
      <c r="GCJ4" s="297"/>
      <c r="GCK4" s="16"/>
      <c r="GCL4" s="16"/>
      <c r="GCM4" s="16"/>
      <c r="GCN4" s="16"/>
      <c r="GCP4" s="297"/>
      <c r="GCQ4" s="298"/>
      <c r="GCR4" s="298"/>
      <c r="GCS4" s="297"/>
      <c r="GCT4" s="297"/>
      <c r="GCU4" s="297"/>
      <c r="GCV4" s="298"/>
      <c r="GCW4" s="299"/>
      <c r="GCX4" s="297"/>
      <c r="GCY4" s="297"/>
      <c r="GCZ4" s="299"/>
      <c r="GDA4" s="299"/>
      <c r="GDB4" s="297"/>
      <c r="GDC4" s="297"/>
      <c r="GDD4" s="299"/>
      <c r="GDE4" s="299"/>
      <c r="GDF4" s="297"/>
      <c r="GDG4" s="297"/>
      <c r="GDH4" s="297"/>
      <c r="GDI4" s="16"/>
      <c r="GDJ4" s="16"/>
      <c r="GDK4" s="16"/>
      <c r="GDL4" s="16"/>
      <c r="GDN4" s="297"/>
      <c r="GDO4" s="298"/>
      <c r="GDP4" s="298"/>
      <c r="GDQ4" s="297"/>
      <c r="GDR4" s="297"/>
      <c r="GDS4" s="297"/>
      <c r="GDT4" s="298"/>
      <c r="GDU4" s="299"/>
      <c r="GDV4" s="297"/>
      <c r="GDW4" s="297"/>
      <c r="GDX4" s="299"/>
      <c r="GDY4" s="299"/>
      <c r="GDZ4" s="297"/>
      <c r="GEA4" s="297"/>
      <c r="GEB4" s="299"/>
      <c r="GEC4" s="299"/>
      <c r="GED4" s="297"/>
      <c r="GEE4" s="297"/>
      <c r="GEF4" s="297"/>
      <c r="GEG4" s="16"/>
      <c r="GEH4" s="16"/>
      <c r="GEI4" s="16"/>
      <c r="GEJ4" s="16"/>
      <c r="GEL4" s="297"/>
      <c r="GEM4" s="298"/>
      <c r="GEN4" s="298"/>
      <c r="GEO4" s="297"/>
      <c r="GEP4" s="297"/>
      <c r="GEQ4" s="297"/>
      <c r="GER4" s="298"/>
      <c r="GES4" s="299"/>
      <c r="GET4" s="297"/>
      <c r="GEU4" s="297"/>
      <c r="GEV4" s="299"/>
      <c r="GEW4" s="299"/>
      <c r="GEX4" s="297"/>
      <c r="GEY4" s="297"/>
      <c r="GEZ4" s="299"/>
      <c r="GFA4" s="299"/>
      <c r="GFB4" s="297"/>
      <c r="GFC4" s="297"/>
      <c r="GFD4" s="297"/>
      <c r="GFE4" s="16"/>
      <c r="GFF4" s="16"/>
      <c r="GFG4" s="16"/>
      <c r="GFH4" s="16"/>
      <c r="GFJ4" s="297"/>
      <c r="GFK4" s="298"/>
      <c r="GFL4" s="298"/>
      <c r="GFM4" s="297"/>
      <c r="GFN4" s="297"/>
      <c r="GFO4" s="297"/>
      <c r="GFP4" s="298"/>
      <c r="GFQ4" s="299"/>
      <c r="GFR4" s="297"/>
      <c r="GFS4" s="297"/>
      <c r="GFT4" s="299"/>
      <c r="GFU4" s="299"/>
      <c r="GFV4" s="297"/>
      <c r="GFW4" s="297"/>
      <c r="GFX4" s="299"/>
      <c r="GFY4" s="299"/>
      <c r="GFZ4" s="297"/>
      <c r="GGA4" s="297"/>
      <c r="GGB4" s="297"/>
      <c r="GGC4" s="16"/>
      <c r="GGD4" s="16"/>
      <c r="GGE4" s="16"/>
      <c r="GGF4" s="16"/>
      <c r="GGH4" s="297"/>
      <c r="GGI4" s="298"/>
      <c r="GGJ4" s="298"/>
      <c r="GGK4" s="297"/>
      <c r="GGL4" s="297"/>
      <c r="GGM4" s="297"/>
      <c r="GGN4" s="298"/>
      <c r="GGO4" s="299"/>
      <c r="GGP4" s="297"/>
      <c r="GGQ4" s="297"/>
      <c r="GGR4" s="299"/>
      <c r="GGS4" s="299"/>
      <c r="GGT4" s="297"/>
      <c r="GGU4" s="297"/>
      <c r="GGV4" s="299"/>
      <c r="GGW4" s="299"/>
      <c r="GGX4" s="297"/>
      <c r="GGY4" s="297"/>
      <c r="GGZ4" s="297"/>
      <c r="GHA4" s="16"/>
      <c r="GHB4" s="16"/>
      <c r="GHC4" s="16"/>
      <c r="GHD4" s="16"/>
      <c r="GHF4" s="297"/>
      <c r="GHG4" s="298"/>
      <c r="GHH4" s="298"/>
      <c r="GHI4" s="297"/>
      <c r="GHJ4" s="297"/>
      <c r="GHK4" s="297"/>
      <c r="GHL4" s="298"/>
      <c r="GHM4" s="299"/>
      <c r="GHN4" s="297"/>
      <c r="GHO4" s="297"/>
      <c r="GHP4" s="299"/>
      <c r="GHQ4" s="299"/>
      <c r="GHR4" s="297"/>
      <c r="GHS4" s="297"/>
      <c r="GHT4" s="299"/>
      <c r="GHU4" s="299"/>
      <c r="GHV4" s="297"/>
      <c r="GHW4" s="297"/>
      <c r="GHX4" s="297"/>
      <c r="GHY4" s="16"/>
      <c r="GHZ4" s="16"/>
      <c r="GIA4" s="16"/>
      <c r="GIB4" s="16"/>
      <c r="GID4" s="297"/>
      <c r="GIE4" s="298"/>
      <c r="GIF4" s="298"/>
      <c r="GIG4" s="297"/>
      <c r="GIH4" s="297"/>
      <c r="GII4" s="297"/>
      <c r="GIJ4" s="298"/>
      <c r="GIK4" s="299"/>
      <c r="GIL4" s="297"/>
      <c r="GIM4" s="297"/>
      <c r="GIN4" s="299"/>
      <c r="GIO4" s="299"/>
      <c r="GIP4" s="297"/>
      <c r="GIQ4" s="297"/>
      <c r="GIR4" s="299"/>
      <c r="GIS4" s="299"/>
      <c r="GIT4" s="297"/>
      <c r="GIU4" s="297"/>
      <c r="GIV4" s="297"/>
      <c r="GIW4" s="16"/>
      <c r="GIX4" s="16"/>
      <c r="GIY4" s="16"/>
      <c r="GIZ4" s="16"/>
      <c r="GJB4" s="297"/>
      <c r="GJC4" s="298"/>
      <c r="GJD4" s="298"/>
      <c r="GJE4" s="297"/>
      <c r="GJF4" s="297"/>
      <c r="GJG4" s="297"/>
      <c r="GJH4" s="298"/>
      <c r="GJI4" s="299"/>
      <c r="GJJ4" s="297"/>
      <c r="GJK4" s="297"/>
      <c r="GJL4" s="299"/>
      <c r="GJM4" s="299"/>
      <c r="GJN4" s="297"/>
      <c r="GJO4" s="297"/>
      <c r="GJP4" s="299"/>
      <c r="GJQ4" s="299"/>
      <c r="GJR4" s="297"/>
      <c r="GJS4" s="297"/>
      <c r="GJT4" s="297"/>
      <c r="GJU4" s="16"/>
      <c r="GJV4" s="16"/>
      <c r="GJW4" s="16"/>
      <c r="GJX4" s="16"/>
      <c r="GJZ4" s="297"/>
      <c r="GKA4" s="298"/>
      <c r="GKB4" s="298"/>
      <c r="GKC4" s="297"/>
      <c r="GKD4" s="297"/>
      <c r="GKE4" s="297"/>
      <c r="GKF4" s="298"/>
      <c r="GKG4" s="299"/>
      <c r="GKH4" s="297"/>
      <c r="GKI4" s="297"/>
      <c r="GKJ4" s="299"/>
      <c r="GKK4" s="299"/>
      <c r="GKL4" s="297"/>
      <c r="GKM4" s="297"/>
      <c r="GKN4" s="299"/>
      <c r="GKO4" s="299"/>
      <c r="GKP4" s="297"/>
      <c r="GKQ4" s="297"/>
      <c r="GKR4" s="297"/>
      <c r="GKS4" s="16"/>
      <c r="GKT4" s="16"/>
      <c r="GKU4" s="16"/>
      <c r="GKV4" s="16"/>
      <c r="GKX4" s="297"/>
      <c r="GKY4" s="298"/>
      <c r="GKZ4" s="298"/>
      <c r="GLA4" s="297"/>
      <c r="GLB4" s="297"/>
      <c r="GLC4" s="297"/>
      <c r="GLD4" s="298"/>
      <c r="GLE4" s="299"/>
      <c r="GLF4" s="297"/>
      <c r="GLG4" s="297"/>
      <c r="GLH4" s="299"/>
      <c r="GLI4" s="299"/>
      <c r="GLJ4" s="297"/>
      <c r="GLK4" s="297"/>
      <c r="GLL4" s="299"/>
      <c r="GLM4" s="299"/>
      <c r="GLN4" s="297"/>
      <c r="GLO4" s="297"/>
      <c r="GLP4" s="297"/>
      <c r="GLQ4" s="16"/>
      <c r="GLR4" s="16"/>
      <c r="GLS4" s="16"/>
      <c r="GLT4" s="16"/>
      <c r="GLV4" s="297"/>
      <c r="GLW4" s="298"/>
      <c r="GLX4" s="298"/>
      <c r="GLY4" s="297"/>
      <c r="GLZ4" s="297"/>
      <c r="GMA4" s="297"/>
      <c r="GMB4" s="298"/>
      <c r="GMC4" s="299"/>
      <c r="GMD4" s="297"/>
      <c r="GME4" s="297"/>
      <c r="GMF4" s="299"/>
      <c r="GMG4" s="299"/>
      <c r="GMH4" s="297"/>
      <c r="GMI4" s="297"/>
      <c r="GMJ4" s="299"/>
      <c r="GMK4" s="299"/>
      <c r="GML4" s="297"/>
      <c r="GMM4" s="297"/>
      <c r="GMN4" s="297"/>
      <c r="GMO4" s="16"/>
      <c r="GMP4" s="16"/>
      <c r="GMQ4" s="16"/>
      <c r="GMR4" s="16"/>
      <c r="GMT4" s="297"/>
      <c r="GMU4" s="298"/>
      <c r="GMV4" s="298"/>
      <c r="GMW4" s="297"/>
      <c r="GMX4" s="297"/>
      <c r="GMY4" s="297"/>
      <c r="GMZ4" s="298"/>
      <c r="GNA4" s="299"/>
      <c r="GNB4" s="297"/>
      <c r="GNC4" s="297"/>
      <c r="GND4" s="299"/>
      <c r="GNE4" s="299"/>
      <c r="GNF4" s="297"/>
      <c r="GNG4" s="297"/>
      <c r="GNH4" s="299"/>
      <c r="GNI4" s="299"/>
      <c r="GNJ4" s="297"/>
      <c r="GNK4" s="297"/>
      <c r="GNL4" s="297"/>
      <c r="GNM4" s="16"/>
      <c r="GNN4" s="16"/>
      <c r="GNO4" s="16"/>
      <c r="GNP4" s="16"/>
      <c r="GNR4" s="297"/>
      <c r="GNS4" s="298"/>
      <c r="GNT4" s="298"/>
      <c r="GNU4" s="297"/>
      <c r="GNV4" s="297"/>
      <c r="GNW4" s="297"/>
      <c r="GNX4" s="298"/>
      <c r="GNY4" s="299"/>
      <c r="GNZ4" s="297"/>
      <c r="GOA4" s="297"/>
      <c r="GOB4" s="299"/>
      <c r="GOC4" s="299"/>
      <c r="GOD4" s="297"/>
      <c r="GOE4" s="297"/>
      <c r="GOF4" s="299"/>
      <c r="GOG4" s="299"/>
      <c r="GOH4" s="297"/>
      <c r="GOI4" s="297"/>
      <c r="GOJ4" s="297"/>
      <c r="GOK4" s="16"/>
      <c r="GOL4" s="16"/>
      <c r="GOM4" s="16"/>
      <c r="GON4" s="16"/>
      <c r="GOP4" s="297"/>
      <c r="GOQ4" s="298"/>
      <c r="GOR4" s="298"/>
      <c r="GOS4" s="297"/>
      <c r="GOT4" s="297"/>
      <c r="GOU4" s="297"/>
      <c r="GOV4" s="298"/>
      <c r="GOW4" s="299"/>
      <c r="GOX4" s="297"/>
      <c r="GOY4" s="297"/>
      <c r="GOZ4" s="299"/>
      <c r="GPA4" s="299"/>
      <c r="GPB4" s="297"/>
      <c r="GPC4" s="297"/>
      <c r="GPD4" s="299"/>
      <c r="GPE4" s="299"/>
      <c r="GPF4" s="297"/>
      <c r="GPG4" s="297"/>
      <c r="GPH4" s="297"/>
      <c r="GPI4" s="16"/>
      <c r="GPJ4" s="16"/>
      <c r="GPK4" s="16"/>
      <c r="GPL4" s="16"/>
      <c r="GPN4" s="297"/>
      <c r="GPO4" s="298"/>
      <c r="GPP4" s="298"/>
      <c r="GPQ4" s="297"/>
      <c r="GPR4" s="297"/>
      <c r="GPS4" s="297"/>
      <c r="GPT4" s="298"/>
      <c r="GPU4" s="299"/>
      <c r="GPV4" s="297"/>
      <c r="GPW4" s="297"/>
      <c r="GPX4" s="299"/>
      <c r="GPY4" s="299"/>
      <c r="GPZ4" s="297"/>
      <c r="GQA4" s="297"/>
      <c r="GQB4" s="299"/>
      <c r="GQC4" s="299"/>
      <c r="GQD4" s="297"/>
      <c r="GQE4" s="297"/>
      <c r="GQF4" s="297"/>
      <c r="GQG4" s="16"/>
      <c r="GQH4" s="16"/>
      <c r="GQI4" s="16"/>
      <c r="GQJ4" s="16"/>
      <c r="GQL4" s="297"/>
      <c r="GQM4" s="298"/>
      <c r="GQN4" s="298"/>
      <c r="GQO4" s="297"/>
      <c r="GQP4" s="297"/>
      <c r="GQQ4" s="297"/>
      <c r="GQR4" s="298"/>
      <c r="GQS4" s="299"/>
      <c r="GQT4" s="297"/>
      <c r="GQU4" s="297"/>
      <c r="GQV4" s="299"/>
      <c r="GQW4" s="299"/>
      <c r="GQX4" s="297"/>
      <c r="GQY4" s="297"/>
      <c r="GQZ4" s="299"/>
      <c r="GRA4" s="299"/>
      <c r="GRB4" s="297"/>
      <c r="GRC4" s="297"/>
      <c r="GRD4" s="297"/>
      <c r="GRE4" s="16"/>
      <c r="GRF4" s="16"/>
      <c r="GRG4" s="16"/>
      <c r="GRH4" s="16"/>
      <c r="GRJ4" s="297"/>
      <c r="GRK4" s="298"/>
      <c r="GRL4" s="298"/>
      <c r="GRM4" s="297"/>
      <c r="GRN4" s="297"/>
      <c r="GRO4" s="297"/>
      <c r="GRP4" s="298"/>
      <c r="GRQ4" s="299"/>
      <c r="GRR4" s="297"/>
      <c r="GRS4" s="297"/>
      <c r="GRT4" s="299"/>
      <c r="GRU4" s="299"/>
      <c r="GRV4" s="297"/>
      <c r="GRW4" s="297"/>
      <c r="GRX4" s="299"/>
      <c r="GRY4" s="299"/>
      <c r="GRZ4" s="297"/>
      <c r="GSA4" s="297"/>
      <c r="GSB4" s="297"/>
      <c r="GSC4" s="16"/>
      <c r="GSD4" s="16"/>
      <c r="GSE4" s="16"/>
      <c r="GSF4" s="16"/>
      <c r="GSH4" s="297"/>
      <c r="GSI4" s="298"/>
      <c r="GSJ4" s="298"/>
      <c r="GSK4" s="297"/>
      <c r="GSL4" s="297"/>
      <c r="GSM4" s="297"/>
      <c r="GSN4" s="298"/>
      <c r="GSO4" s="299"/>
      <c r="GSP4" s="297"/>
      <c r="GSQ4" s="297"/>
      <c r="GSR4" s="299"/>
      <c r="GSS4" s="299"/>
      <c r="GST4" s="297"/>
      <c r="GSU4" s="297"/>
      <c r="GSV4" s="299"/>
      <c r="GSW4" s="299"/>
      <c r="GSX4" s="297"/>
      <c r="GSY4" s="297"/>
      <c r="GSZ4" s="297"/>
      <c r="GTA4" s="16"/>
      <c r="GTB4" s="16"/>
      <c r="GTC4" s="16"/>
      <c r="GTD4" s="16"/>
      <c r="GTF4" s="297"/>
      <c r="GTG4" s="298"/>
      <c r="GTH4" s="298"/>
      <c r="GTI4" s="297"/>
      <c r="GTJ4" s="297"/>
      <c r="GTK4" s="297"/>
      <c r="GTL4" s="298"/>
      <c r="GTM4" s="299"/>
      <c r="GTN4" s="297"/>
      <c r="GTO4" s="297"/>
      <c r="GTP4" s="299"/>
      <c r="GTQ4" s="299"/>
      <c r="GTR4" s="297"/>
      <c r="GTS4" s="297"/>
      <c r="GTT4" s="299"/>
      <c r="GTU4" s="299"/>
      <c r="GTV4" s="297"/>
      <c r="GTW4" s="297"/>
      <c r="GTX4" s="297"/>
      <c r="GTY4" s="16"/>
      <c r="GTZ4" s="16"/>
      <c r="GUA4" s="16"/>
      <c r="GUB4" s="16"/>
      <c r="GUD4" s="297"/>
      <c r="GUE4" s="298"/>
      <c r="GUF4" s="298"/>
      <c r="GUG4" s="297"/>
      <c r="GUH4" s="297"/>
      <c r="GUI4" s="297"/>
      <c r="GUJ4" s="298"/>
      <c r="GUK4" s="299"/>
      <c r="GUL4" s="297"/>
      <c r="GUM4" s="297"/>
      <c r="GUN4" s="299"/>
      <c r="GUO4" s="299"/>
      <c r="GUP4" s="297"/>
      <c r="GUQ4" s="297"/>
      <c r="GUR4" s="299"/>
      <c r="GUS4" s="299"/>
      <c r="GUT4" s="297"/>
      <c r="GUU4" s="297"/>
      <c r="GUV4" s="297"/>
      <c r="GUW4" s="16"/>
      <c r="GUX4" s="16"/>
      <c r="GUY4" s="16"/>
      <c r="GUZ4" s="16"/>
      <c r="GVB4" s="297"/>
      <c r="GVC4" s="298"/>
      <c r="GVD4" s="298"/>
      <c r="GVE4" s="297"/>
      <c r="GVF4" s="297"/>
      <c r="GVG4" s="297"/>
      <c r="GVH4" s="298"/>
      <c r="GVI4" s="299"/>
      <c r="GVJ4" s="297"/>
      <c r="GVK4" s="297"/>
      <c r="GVL4" s="299"/>
      <c r="GVM4" s="299"/>
      <c r="GVN4" s="297"/>
      <c r="GVO4" s="297"/>
      <c r="GVP4" s="299"/>
      <c r="GVQ4" s="299"/>
      <c r="GVR4" s="297"/>
      <c r="GVS4" s="297"/>
      <c r="GVT4" s="297"/>
      <c r="GVU4" s="16"/>
      <c r="GVV4" s="16"/>
      <c r="GVW4" s="16"/>
      <c r="GVX4" s="16"/>
      <c r="GVZ4" s="297"/>
      <c r="GWA4" s="298"/>
      <c r="GWB4" s="298"/>
      <c r="GWC4" s="297"/>
      <c r="GWD4" s="297"/>
      <c r="GWE4" s="297"/>
      <c r="GWF4" s="298"/>
      <c r="GWG4" s="299"/>
      <c r="GWH4" s="297"/>
      <c r="GWI4" s="297"/>
      <c r="GWJ4" s="299"/>
      <c r="GWK4" s="299"/>
      <c r="GWL4" s="297"/>
      <c r="GWM4" s="297"/>
      <c r="GWN4" s="299"/>
      <c r="GWO4" s="299"/>
      <c r="GWP4" s="297"/>
      <c r="GWQ4" s="297"/>
      <c r="GWR4" s="297"/>
      <c r="GWS4" s="16"/>
      <c r="GWT4" s="16"/>
      <c r="GWU4" s="16"/>
      <c r="GWV4" s="16"/>
      <c r="GWX4" s="297"/>
      <c r="GWY4" s="298"/>
      <c r="GWZ4" s="298"/>
      <c r="GXA4" s="297"/>
      <c r="GXB4" s="297"/>
      <c r="GXC4" s="297"/>
      <c r="GXD4" s="298"/>
      <c r="GXE4" s="299"/>
      <c r="GXF4" s="297"/>
      <c r="GXG4" s="297"/>
      <c r="GXH4" s="299"/>
      <c r="GXI4" s="299"/>
      <c r="GXJ4" s="297"/>
      <c r="GXK4" s="297"/>
      <c r="GXL4" s="299"/>
      <c r="GXM4" s="299"/>
      <c r="GXN4" s="297"/>
      <c r="GXO4" s="297"/>
      <c r="GXP4" s="297"/>
      <c r="GXQ4" s="16"/>
      <c r="GXR4" s="16"/>
      <c r="GXS4" s="16"/>
      <c r="GXT4" s="16"/>
      <c r="GXV4" s="297"/>
      <c r="GXW4" s="298"/>
      <c r="GXX4" s="298"/>
      <c r="GXY4" s="297"/>
      <c r="GXZ4" s="297"/>
      <c r="GYA4" s="297"/>
      <c r="GYB4" s="298"/>
      <c r="GYC4" s="299"/>
      <c r="GYD4" s="297"/>
      <c r="GYE4" s="297"/>
      <c r="GYF4" s="299"/>
      <c r="GYG4" s="299"/>
      <c r="GYH4" s="297"/>
      <c r="GYI4" s="297"/>
      <c r="GYJ4" s="299"/>
      <c r="GYK4" s="299"/>
      <c r="GYL4" s="297"/>
      <c r="GYM4" s="297"/>
      <c r="GYN4" s="297"/>
      <c r="GYO4" s="16"/>
      <c r="GYP4" s="16"/>
      <c r="GYQ4" s="16"/>
      <c r="GYR4" s="16"/>
      <c r="GYT4" s="297"/>
      <c r="GYU4" s="298"/>
      <c r="GYV4" s="298"/>
      <c r="GYW4" s="297"/>
      <c r="GYX4" s="297"/>
      <c r="GYY4" s="297"/>
      <c r="GYZ4" s="298"/>
      <c r="GZA4" s="299"/>
      <c r="GZB4" s="297"/>
      <c r="GZC4" s="297"/>
      <c r="GZD4" s="299"/>
      <c r="GZE4" s="299"/>
      <c r="GZF4" s="297"/>
      <c r="GZG4" s="297"/>
      <c r="GZH4" s="299"/>
      <c r="GZI4" s="299"/>
      <c r="GZJ4" s="297"/>
      <c r="GZK4" s="297"/>
      <c r="GZL4" s="297"/>
      <c r="GZM4" s="16"/>
      <c r="GZN4" s="16"/>
      <c r="GZO4" s="16"/>
      <c r="GZP4" s="16"/>
      <c r="GZR4" s="297"/>
      <c r="GZS4" s="298"/>
      <c r="GZT4" s="298"/>
      <c r="GZU4" s="297"/>
      <c r="GZV4" s="297"/>
      <c r="GZW4" s="297"/>
      <c r="GZX4" s="298"/>
      <c r="GZY4" s="299"/>
      <c r="GZZ4" s="297"/>
      <c r="HAA4" s="297"/>
      <c r="HAB4" s="299"/>
      <c r="HAC4" s="299"/>
      <c r="HAD4" s="297"/>
      <c r="HAE4" s="297"/>
      <c r="HAF4" s="299"/>
      <c r="HAG4" s="299"/>
      <c r="HAH4" s="297"/>
      <c r="HAI4" s="297"/>
      <c r="HAJ4" s="297"/>
      <c r="HAK4" s="16"/>
      <c r="HAL4" s="16"/>
      <c r="HAM4" s="16"/>
      <c r="HAN4" s="16"/>
      <c r="HAP4" s="297"/>
      <c r="HAQ4" s="298"/>
      <c r="HAR4" s="298"/>
      <c r="HAS4" s="297"/>
      <c r="HAT4" s="297"/>
      <c r="HAU4" s="297"/>
      <c r="HAV4" s="298"/>
      <c r="HAW4" s="299"/>
      <c r="HAX4" s="297"/>
      <c r="HAY4" s="297"/>
      <c r="HAZ4" s="299"/>
      <c r="HBA4" s="299"/>
      <c r="HBB4" s="297"/>
      <c r="HBC4" s="297"/>
      <c r="HBD4" s="299"/>
      <c r="HBE4" s="299"/>
      <c r="HBF4" s="297"/>
      <c r="HBG4" s="297"/>
      <c r="HBH4" s="297"/>
      <c r="HBI4" s="16"/>
      <c r="HBJ4" s="16"/>
      <c r="HBK4" s="16"/>
      <c r="HBL4" s="16"/>
      <c r="HBN4" s="297"/>
      <c r="HBO4" s="298"/>
      <c r="HBP4" s="298"/>
      <c r="HBQ4" s="297"/>
      <c r="HBR4" s="297"/>
      <c r="HBS4" s="297"/>
      <c r="HBT4" s="298"/>
      <c r="HBU4" s="299"/>
      <c r="HBV4" s="297"/>
      <c r="HBW4" s="297"/>
      <c r="HBX4" s="299"/>
      <c r="HBY4" s="299"/>
      <c r="HBZ4" s="297"/>
      <c r="HCA4" s="297"/>
      <c r="HCB4" s="299"/>
      <c r="HCC4" s="299"/>
      <c r="HCD4" s="297"/>
      <c r="HCE4" s="297"/>
      <c r="HCF4" s="297"/>
      <c r="HCG4" s="16"/>
      <c r="HCH4" s="16"/>
      <c r="HCI4" s="16"/>
      <c r="HCJ4" s="16"/>
      <c r="HCL4" s="297"/>
      <c r="HCM4" s="298"/>
      <c r="HCN4" s="298"/>
      <c r="HCO4" s="297"/>
      <c r="HCP4" s="297"/>
      <c r="HCQ4" s="297"/>
      <c r="HCR4" s="298"/>
      <c r="HCS4" s="299"/>
      <c r="HCT4" s="297"/>
      <c r="HCU4" s="297"/>
      <c r="HCV4" s="299"/>
      <c r="HCW4" s="299"/>
      <c r="HCX4" s="297"/>
      <c r="HCY4" s="297"/>
      <c r="HCZ4" s="299"/>
      <c r="HDA4" s="299"/>
      <c r="HDB4" s="297"/>
      <c r="HDC4" s="297"/>
      <c r="HDD4" s="297"/>
      <c r="HDE4" s="16"/>
      <c r="HDF4" s="16"/>
      <c r="HDG4" s="16"/>
      <c r="HDH4" s="16"/>
      <c r="HDJ4" s="297"/>
      <c r="HDK4" s="298"/>
      <c r="HDL4" s="298"/>
      <c r="HDM4" s="297"/>
      <c r="HDN4" s="297"/>
      <c r="HDO4" s="297"/>
      <c r="HDP4" s="298"/>
      <c r="HDQ4" s="299"/>
      <c r="HDR4" s="297"/>
      <c r="HDS4" s="297"/>
      <c r="HDT4" s="299"/>
      <c r="HDU4" s="299"/>
      <c r="HDV4" s="297"/>
      <c r="HDW4" s="297"/>
      <c r="HDX4" s="299"/>
      <c r="HDY4" s="299"/>
      <c r="HDZ4" s="297"/>
      <c r="HEA4" s="297"/>
      <c r="HEB4" s="297"/>
      <c r="HEC4" s="16"/>
      <c r="HED4" s="16"/>
      <c r="HEE4" s="16"/>
      <c r="HEF4" s="16"/>
      <c r="HEH4" s="297"/>
      <c r="HEI4" s="298"/>
      <c r="HEJ4" s="298"/>
      <c r="HEK4" s="297"/>
      <c r="HEL4" s="297"/>
      <c r="HEM4" s="297"/>
      <c r="HEN4" s="298"/>
      <c r="HEO4" s="299"/>
      <c r="HEP4" s="297"/>
      <c r="HEQ4" s="297"/>
      <c r="HER4" s="299"/>
      <c r="HES4" s="299"/>
      <c r="HET4" s="297"/>
      <c r="HEU4" s="297"/>
      <c r="HEV4" s="299"/>
      <c r="HEW4" s="299"/>
      <c r="HEX4" s="297"/>
      <c r="HEY4" s="297"/>
      <c r="HEZ4" s="297"/>
      <c r="HFA4" s="16"/>
      <c r="HFB4" s="16"/>
      <c r="HFC4" s="16"/>
      <c r="HFD4" s="16"/>
      <c r="HFF4" s="297"/>
      <c r="HFG4" s="298"/>
      <c r="HFH4" s="298"/>
      <c r="HFI4" s="297"/>
      <c r="HFJ4" s="297"/>
      <c r="HFK4" s="297"/>
      <c r="HFL4" s="298"/>
      <c r="HFM4" s="299"/>
      <c r="HFN4" s="297"/>
      <c r="HFO4" s="297"/>
      <c r="HFP4" s="299"/>
      <c r="HFQ4" s="299"/>
      <c r="HFR4" s="297"/>
      <c r="HFS4" s="297"/>
      <c r="HFT4" s="299"/>
      <c r="HFU4" s="299"/>
      <c r="HFV4" s="297"/>
      <c r="HFW4" s="297"/>
      <c r="HFX4" s="297"/>
      <c r="HFY4" s="16"/>
      <c r="HFZ4" s="16"/>
      <c r="HGA4" s="16"/>
      <c r="HGB4" s="16"/>
      <c r="HGD4" s="297"/>
      <c r="HGE4" s="298"/>
      <c r="HGF4" s="298"/>
      <c r="HGG4" s="297"/>
      <c r="HGH4" s="297"/>
      <c r="HGI4" s="297"/>
      <c r="HGJ4" s="298"/>
      <c r="HGK4" s="299"/>
      <c r="HGL4" s="297"/>
      <c r="HGM4" s="297"/>
      <c r="HGN4" s="299"/>
      <c r="HGO4" s="299"/>
      <c r="HGP4" s="297"/>
      <c r="HGQ4" s="297"/>
      <c r="HGR4" s="299"/>
      <c r="HGS4" s="299"/>
      <c r="HGT4" s="297"/>
      <c r="HGU4" s="297"/>
      <c r="HGV4" s="297"/>
      <c r="HGW4" s="16"/>
      <c r="HGX4" s="16"/>
      <c r="HGY4" s="16"/>
      <c r="HGZ4" s="16"/>
      <c r="HHB4" s="297"/>
      <c r="HHC4" s="298"/>
      <c r="HHD4" s="298"/>
      <c r="HHE4" s="297"/>
      <c r="HHF4" s="297"/>
      <c r="HHG4" s="297"/>
      <c r="HHH4" s="298"/>
      <c r="HHI4" s="299"/>
      <c r="HHJ4" s="297"/>
      <c r="HHK4" s="297"/>
      <c r="HHL4" s="299"/>
      <c r="HHM4" s="299"/>
      <c r="HHN4" s="297"/>
      <c r="HHO4" s="297"/>
      <c r="HHP4" s="299"/>
      <c r="HHQ4" s="299"/>
      <c r="HHR4" s="297"/>
      <c r="HHS4" s="297"/>
      <c r="HHT4" s="297"/>
      <c r="HHU4" s="16"/>
      <c r="HHV4" s="16"/>
      <c r="HHW4" s="16"/>
      <c r="HHX4" s="16"/>
      <c r="HHZ4" s="297"/>
      <c r="HIA4" s="298"/>
      <c r="HIB4" s="298"/>
      <c r="HIC4" s="297"/>
      <c r="HID4" s="297"/>
      <c r="HIE4" s="297"/>
      <c r="HIF4" s="298"/>
      <c r="HIG4" s="299"/>
      <c r="HIH4" s="297"/>
      <c r="HII4" s="297"/>
      <c r="HIJ4" s="299"/>
      <c r="HIK4" s="299"/>
      <c r="HIL4" s="297"/>
      <c r="HIM4" s="297"/>
      <c r="HIN4" s="299"/>
      <c r="HIO4" s="299"/>
      <c r="HIP4" s="297"/>
      <c r="HIQ4" s="297"/>
      <c r="HIR4" s="297"/>
      <c r="HIS4" s="16"/>
      <c r="HIT4" s="16"/>
      <c r="HIU4" s="16"/>
      <c r="HIV4" s="16"/>
      <c r="HIX4" s="297"/>
      <c r="HIY4" s="298"/>
      <c r="HIZ4" s="298"/>
      <c r="HJA4" s="297"/>
      <c r="HJB4" s="297"/>
      <c r="HJC4" s="297"/>
      <c r="HJD4" s="298"/>
      <c r="HJE4" s="299"/>
      <c r="HJF4" s="297"/>
      <c r="HJG4" s="297"/>
      <c r="HJH4" s="299"/>
      <c r="HJI4" s="299"/>
      <c r="HJJ4" s="297"/>
      <c r="HJK4" s="297"/>
      <c r="HJL4" s="299"/>
      <c r="HJM4" s="299"/>
      <c r="HJN4" s="297"/>
      <c r="HJO4" s="297"/>
      <c r="HJP4" s="297"/>
      <c r="HJQ4" s="16"/>
      <c r="HJR4" s="16"/>
      <c r="HJS4" s="16"/>
      <c r="HJT4" s="16"/>
      <c r="HJV4" s="297"/>
      <c r="HJW4" s="298"/>
      <c r="HJX4" s="298"/>
      <c r="HJY4" s="297"/>
      <c r="HJZ4" s="297"/>
      <c r="HKA4" s="297"/>
      <c r="HKB4" s="298"/>
      <c r="HKC4" s="299"/>
      <c r="HKD4" s="297"/>
      <c r="HKE4" s="297"/>
      <c r="HKF4" s="299"/>
      <c r="HKG4" s="299"/>
      <c r="HKH4" s="297"/>
      <c r="HKI4" s="297"/>
      <c r="HKJ4" s="299"/>
      <c r="HKK4" s="299"/>
      <c r="HKL4" s="297"/>
      <c r="HKM4" s="297"/>
      <c r="HKN4" s="297"/>
      <c r="HKO4" s="16"/>
      <c r="HKP4" s="16"/>
      <c r="HKQ4" s="16"/>
      <c r="HKR4" s="16"/>
      <c r="HKT4" s="297"/>
      <c r="HKU4" s="298"/>
      <c r="HKV4" s="298"/>
      <c r="HKW4" s="297"/>
      <c r="HKX4" s="297"/>
      <c r="HKY4" s="297"/>
      <c r="HKZ4" s="298"/>
      <c r="HLA4" s="299"/>
      <c r="HLB4" s="297"/>
      <c r="HLC4" s="297"/>
      <c r="HLD4" s="299"/>
      <c r="HLE4" s="299"/>
      <c r="HLF4" s="297"/>
      <c r="HLG4" s="297"/>
      <c r="HLH4" s="299"/>
      <c r="HLI4" s="299"/>
      <c r="HLJ4" s="297"/>
      <c r="HLK4" s="297"/>
      <c r="HLL4" s="297"/>
      <c r="HLM4" s="16"/>
      <c r="HLN4" s="16"/>
      <c r="HLO4" s="16"/>
      <c r="HLP4" s="16"/>
      <c r="HLR4" s="297"/>
      <c r="HLS4" s="298"/>
      <c r="HLT4" s="298"/>
      <c r="HLU4" s="297"/>
      <c r="HLV4" s="297"/>
      <c r="HLW4" s="297"/>
      <c r="HLX4" s="298"/>
      <c r="HLY4" s="299"/>
      <c r="HLZ4" s="297"/>
      <c r="HMA4" s="297"/>
      <c r="HMB4" s="299"/>
      <c r="HMC4" s="299"/>
      <c r="HMD4" s="297"/>
      <c r="HME4" s="297"/>
      <c r="HMF4" s="299"/>
      <c r="HMG4" s="299"/>
      <c r="HMH4" s="297"/>
      <c r="HMI4" s="297"/>
      <c r="HMJ4" s="297"/>
      <c r="HMK4" s="16"/>
      <c r="HML4" s="16"/>
      <c r="HMM4" s="16"/>
      <c r="HMN4" s="16"/>
      <c r="HMP4" s="297"/>
      <c r="HMQ4" s="298"/>
      <c r="HMR4" s="298"/>
      <c r="HMS4" s="297"/>
      <c r="HMT4" s="297"/>
      <c r="HMU4" s="297"/>
      <c r="HMV4" s="298"/>
      <c r="HMW4" s="299"/>
      <c r="HMX4" s="297"/>
      <c r="HMY4" s="297"/>
      <c r="HMZ4" s="299"/>
      <c r="HNA4" s="299"/>
      <c r="HNB4" s="297"/>
      <c r="HNC4" s="297"/>
      <c r="HND4" s="299"/>
      <c r="HNE4" s="299"/>
      <c r="HNF4" s="297"/>
      <c r="HNG4" s="297"/>
      <c r="HNH4" s="297"/>
      <c r="HNI4" s="16"/>
      <c r="HNJ4" s="16"/>
      <c r="HNK4" s="16"/>
      <c r="HNL4" s="16"/>
      <c r="HNN4" s="297"/>
      <c r="HNO4" s="298"/>
      <c r="HNP4" s="298"/>
      <c r="HNQ4" s="297"/>
      <c r="HNR4" s="297"/>
      <c r="HNS4" s="297"/>
      <c r="HNT4" s="298"/>
      <c r="HNU4" s="299"/>
      <c r="HNV4" s="297"/>
      <c r="HNW4" s="297"/>
      <c r="HNX4" s="299"/>
      <c r="HNY4" s="299"/>
      <c r="HNZ4" s="297"/>
      <c r="HOA4" s="297"/>
      <c r="HOB4" s="299"/>
      <c r="HOC4" s="299"/>
      <c r="HOD4" s="297"/>
      <c r="HOE4" s="297"/>
      <c r="HOF4" s="297"/>
      <c r="HOG4" s="16"/>
      <c r="HOH4" s="16"/>
      <c r="HOI4" s="16"/>
      <c r="HOJ4" s="16"/>
      <c r="HOL4" s="297"/>
      <c r="HOM4" s="298"/>
      <c r="HON4" s="298"/>
      <c r="HOO4" s="297"/>
      <c r="HOP4" s="297"/>
      <c r="HOQ4" s="297"/>
      <c r="HOR4" s="298"/>
      <c r="HOS4" s="299"/>
      <c r="HOT4" s="297"/>
      <c r="HOU4" s="297"/>
      <c r="HOV4" s="299"/>
      <c r="HOW4" s="299"/>
      <c r="HOX4" s="297"/>
      <c r="HOY4" s="297"/>
      <c r="HOZ4" s="299"/>
      <c r="HPA4" s="299"/>
      <c r="HPB4" s="297"/>
      <c r="HPC4" s="297"/>
      <c r="HPD4" s="297"/>
      <c r="HPE4" s="16"/>
      <c r="HPF4" s="16"/>
      <c r="HPG4" s="16"/>
      <c r="HPH4" s="16"/>
      <c r="HPJ4" s="297"/>
      <c r="HPK4" s="298"/>
      <c r="HPL4" s="298"/>
      <c r="HPM4" s="297"/>
      <c r="HPN4" s="297"/>
      <c r="HPO4" s="297"/>
      <c r="HPP4" s="298"/>
      <c r="HPQ4" s="299"/>
      <c r="HPR4" s="297"/>
      <c r="HPS4" s="297"/>
      <c r="HPT4" s="299"/>
      <c r="HPU4" s="299"/>
      <c r="HPV4" s="297"/>
      <c r="HPW4" s="297"/>
      <c r="HPX4" s="299"/>
      <c r="HPY4" s="299"/>
      <c r="HPZ4" s="297"/>
      <c r="HQA4" s="297"/>
      <c r="HQB4" s="297"/>
      <c r="HQC4" s="16"/>
      <c r="HQD4" s="16"/>
      <c r="HQE4" s="16"/>
      <c r="HQF4" s="16"/>
      <c r="HQH4" s="297"/>
      <c r="HQI4" s="298"/>
      <c r="HQJ4" s="298"/>
      <c r="HQK4" s="297"/>
      <c r="HQL4" s="297"/>
      <c r="HQM4" s="297"/>
      <c r="HQN4" s="298"/>
      <c r="HQO4" s="299"/>
      <c r="HQP4" s="297"/>
      <c r="HQQ4" s="297"/>
      <c r="HQR4" s="299"/>
      <c r="HQS4" s="299"/>
      <c r="HQT4" s="297"/>
      <c r="HQU4" s="297"/>
      <c r="HQV4" s="299"/>
      <c r="HQW4" s="299"/>
      <c r="HQX4" s="297"/>
      <c r="HQY4" s="297"/>
      <c r="HQZ4" s="297"/>
      <c r="HRA4" s="16"/>
      <c r="HRB4" s="16"/>
      <c r="HRC4" s="16"/>
      <c r="HRD4" s="16"/>
      <c r="HRF4" s="297"/>
      <c r="HRG4" s="298"/>
      <c r="HRH4" s="298"/>
      <c r="HRI4" s="297"/>
      <c r="HRJ4" s="297"/>
      <c r="HRK4" s="297"/>
      <c r="HRL4" s="298"/>
      <c r="HRM4" s="299"/>
      <c r="HRN4" s="297"/>
      <c r="HRO4" s="297"/>
      <c r="HRP4" s="299"/>
      <c r="HRQ4" s="299"/>
      <c r="HRR4" s="297"/>
      <c r="HRS4" s="297"/>
      <c r="HRT4" s="299"/>
      <c r="HRU4" s="299"/>
      <c r="HRV4" s="297"/>
      <c r="HRW4" s="297"/>
      <c r="HRX4" s="297"/>
      <c r="HRY4" s="16"/>
      <c r="HRZ4" s="16"/>
      <c r="HSA4" s="16"/>
      <c r="HSB4" s="16"/>
      <c r="HSD4" s="297"/>
      <c r="HSE4" s="298"/>
      <c r="HSF4" s="298"/>
      <c r="HSG4" s="297"/>
      <c r="HSH4" s="297"/>
      <c r="HSI4" s="297"/>
      <c r="HSJ4" s="298"/>
      <c r="HSK4" s="299"/>
      <c r="HSL4" s="297"/>
      <c r="HSM4" s="297"/>
      <c r="HSN4" s="299"/>
      <c r="HSO4" s="299"/>
      <c r="HSP4" s="297"/>
      <c r="HSQ4" s="297"/>
      <c r="HSR4" s="299"/>
      <c r="HSS4" s="299"/>
      <c r="HST4" s="297"/>
      <c r="HSU4" s="297"/>
      <c r="HSV4" s="297"/>
      <c r="HSW4" s="16"/>
      <c r="HSX4" s="16"/>
      <c r="HSY4" s="16"/>
      <c r="HSZ4" s="16"/>
      <c r="HTB4" s="297"/>
      <c r="HTC4" s="298"/>
      <c r="HTD4" s="298"/>
      <c r="HTE4" s="297"/>
      <c r="HTF4" s="297"/>
      <c r="HTG4" s="297"/>
      <c r="HTH4" s="298"/>
      <c r="HTI4" s="299"/>
      <c r="HTJ4" s="297"/>
      <c r="HTK4" s="297"/>
      <c r="HTL4" s="299"/>
      <c r="HTM4" s="299"/>
      <c r="HTN4" s="297"/>
      <c r="HTO4" s="297"/>
      <c r="HTP4" s="299"/>
      <c r="HTQ4" s="299"/>
      <c r="HTR4" s="297"/>
      <c r="HTS4" s="297"/>
      <c r="HTT4" s="297"/>
      <c r="HTU4" s="16"/>
      <c r="HTV4" s="16"/>
      <c r="HTW4" s="16"/>
      <c r="HTX4" s="16"/>
      <c r="HTZ4" s="297"/>
      <c r="HUA4" s="298"/>
      <c r="HUB4" s="298"/>
      <c r="HUC4" s="297"/>
      <c r="HUD4" s="297"/>
      <c r="HUE4" s="297"/>
      <c r="HUF4" s="298"/>
      <c r="HUG4" s="299"/>
      <c r="HUH4" s="297"/>
      <c r="HUI4" s="297"/>
      <c r="HUJ4" s="299"/>
      <c r="HUK4" s="299"/>
      <c r="HUL4" s="297"/>
      <c r="HUM4" s="297"/>
      <c r="HUN4" s="299"/>
      <c r="HUO4" s="299"/>
      <c r="HUP4" s="297"/>
      <c r="HUQ4" s="297"/>
      <c r="HUR4" s="297"/>
      <c r="HUS4" s="16"/>
      <c r="HUT4" s="16"/>
      <c r="HUU4" s="16"/>
      <c r="HUV4" s="16"/>
      <c r="HUX4" s="297"/>
      <c r="HUY4" s="298"/>
      <c r="HUZ4" s="298"/>
      <c r="HVA4" s="297"/>
      <c r="HVB4" s="297"/>
      <c r="HVC4" s="297"/>
      <c r="HVD4" s="298"/>
      <c r="HVE4" s="299"/>
      <c r="HVF4" s="297"/>
      <c r="HVG4" s="297"/>
      <c r="HVH4" s="299"/>
      <c r="HVI4" s="299"/>
      <c r="HVJ4" s="297"/>
      <c r="HVK4" s="297"/>
      <c r="HVL4" s="299"/>
      <c r="HVM4" s="299"/>
      <c r="HVN4" s="297"/>
      <c r="HVO4" s="297"/>
      <c r="HVP4" s="297"/>
      <c r="HVQ4" s="16"/>
      <c r="HVR4" s="16"/>
      <c r="HVS4" s="16"/>
      <c r="HVT4" s="16"/>
      <c r="HVV4" s="297"/>
      <c r="HVW4" s="298"/>
      <c r="HVX4" s="298"/>
      <c r="HVY4" s="297"/>
      <c r="HVZ4" s="297"/>
      <c r="HWA4" s="297"/>
      <c r="HWB4" s="298"/>
      <c r="HWC4" s="299"/>
      <c r="HWD4" s="297"/>
      <c r="HWE4" s="297"/>
      <c r="HWF4" s="299"/>
      <c r="HWG4" s="299"/>
      <c r="HWH4" s="297"/>
      <c r="HWI4" s="297"/>
      <c r="HWJ4" s="299"/>
      <c r="HWK4" s="299"/>
      <c r="HWL4" s="297"/>
      <c r="HWM4" s="297"/>
      <c r="HWN4" s="297"/>
      <c r="HWO4" s="16"/>
      <c r="HWP4" s="16"/>
      <c r="HWQ4" s="16"/>
      <c r="HWR4" s="16"/>
      <c r="HWT4" s="297"/>
      <c r="HWU4" s="298"/>
      <c r="HWV4" s="298"/>
      <c r="HWW4" s="297"/>
      <c r="HWX4" s="297"/>
      <c r="HWY4" s="297"/>
      <c r="HWZ4" s="298"/>
      <c r="HXA4" s="299"/>
      <c r="HXB4" s="297"/>
      <c r="HXC4" s="297"/>
      <c r="HXD4" s="299"/>
      <c r="HXE4" s="299"/>
      <c r="HXF4" s="297"/>
      <c r="HXG4" s="297"/>
      <c r="HXH4" s="299"/>
      <c r="HXI4" s="299"/>
      <c r="HXJ4" s="297"/>
      <c r="HXK4" s="297"/>
      <c r="HXL4" s="297"/>
      <c r="HXM4" s="16"/>
      <c r="HXN4" s="16"/>
      <c r="HXO4" s="16"/>
      <c r="HXP4" s="16"/>
      <c r="HXR4" s="297"/>
      <c r="HXS4" s="298"/>
      <c r="HXT4" s="298"/>
      <c r="HXU4" s="297"/>
      <c r="HXV4" s="297"/>
      <c r="HXW4" s="297"/>
      <c r="HXX4" s="298"/>
      <c r="HXY4" s="299"/>
      <c r="HXZ4" s="297"/>
      <c r="HYA4" s="297"/>
      <c r="HYB4" s="299"/>
      <c r="HYC4" s="299"/>
      <c r="HYD4" s="297"/>
      <c r="HYE4" s="297"/>
      <c r="HYF4" s="299"/>
      <c r="HYG4" s="299"/>
      <c r="HYH4" s="297"/>
      <c r="HYI4" s="297"/>
      <c r="HYJ4" s="297"/>
      <c r="HYK4" s="16"/>
      <c r="HYL4" s="16"/>
      <c r="HYM4" s="16"/>
      <c r="HYN4" s="16"/>
      <c r="HYP4" s="297"/>
      <c r="HYQ4" s="298"/>
      <c r="HYR4" s="298"/>
      <c r="HYS4" s="297"/>
      <c r="HYT4" s="297"/>
      <c r="HYU4" s="297"/>
      <c r="HYV4" s="298"/>
      <c r="HYW4" s="299"/>
      <c r="HYX4" s="297"/>
      <c r="HYY4" s="297"/>
      <c r="HYZ4" s="299"/>
      <c r="HZA4" s="299"/>
      <c r="HZB4" s="297"/>
      <c r="HZC4" s="297"/>
      <c r="HZD4" s="299"/>
      <c r="HZE4" s="299"/>
      <c r="HZF4" s="297"/>
      <c r="HZG4" s="297"/>
      <c r="HZH4" s="297"/>
      <c r="HZI4" s="16"/>
      <c r="HZJ4" s="16"/>
      <c r="HZK4" s="16"/>
      <c r="HZL4" s="16"/>
      <c r="HZN4" s="297"/>
      <c r="HZO4" s="298"/>
      <c r="HZP4" s="298"/>
      <c r="HZQ4" s="297"/>
      <c r="HZR4" s="297"/>
      <c r="HZS4" s="297"/>
      <c r="HZT4" s="298"/>
      <c r="HZU4" s="299"/>
      <c r="HZV4" s="297"/>
      <c r="HZW4" s="297"/>
      <c r="HZX4" s="299"/>
      <c r="HZY4" s="299"/>
      <c r="HZZ4" s="297"/>
      <c r="IAA4" s="297"/>
      <c r="IAB4" s="299"/>
      <c r="IAC4" s="299"/>
      <c r="IAD4" s="297"/>
      <c r="IAE4" s="297"/>
      <c r="IAF4" s="297"/>
      <c r="IAG4" s="16"/>
      <c r="IAH4" s="16"/>
      <c r="IAI4" s="16"/>
      <c r="IAJ4" s="16"/>
      <c r="IAL4" s="297"/>
      <c r="IAM4" s="298"/>
      <c r="IAN4" s="298"/>
      <c r="IAO4" s="297"/>
      <c r="IAP4" s="297"/>
      <c r="IAQ4" s="297"/>
      <c r="IAR4" s="298"/>
      <c r="IAS4" s="299"/>
      <c r="IAT4" s="297"/>
      <c r="IAU4" s="297"/>
      <c r="IAV4" s="299"/>
      <c r="IAW4" s="299"/>
      <c r="IAX4" s="297"/>
      <c r="IAY4" s="297"/>
      <c r="IAZ4" s="299"/>
      <c r="IBA4" s="299"/>
      <c r="IBB4" s="297"/>
      <c r="IBC4" s="297"/>
      <c r="IBD4" s="297"/>
      <c r="IBE4" s="16"/>
      <c r="IBF4" s="16"/>
      <c r="IBG4" s="16"/>
      <c r="IBH4" s="16"/>
      <c r="IBJ4" s="297"/>
      <c r="IBK4" s="298"/>
      <c r="IBL4" s="298"/>
      <c r="IBM4" s="297"/>
      <c r="IBN4" s="297"/>
      <c r="IBO4" s="297"/>
      <c r="IBP4" s="298"/>
      <c r="IBQ4" s="299"/>
      <c r="IBR4" s="297"/>
      <c r="IBS4" s="297"/>
      <c r="IBT4" s="299"/>
      <c r="IBU4" s="299"/>
      <c r="IBV4" s="297"/>
      <c r="IBW4" s="297"/>
      <c r="IBX4" s="299"/>
      <c r="IBY4" s="299"/>
      <c r="IBZ4" s="297"/>
      <c r="ICA4" s="297"/>
      <c r="ICB4" s="297"/>
      <c r="ICC4" s="16"/>
      <c r="ICD4" s="16"/>
      <c r="ICE4" s="16"/>
      <c r="ICF4" s="16"/>
      <c r="ICH4" s="297"/>
      <c r="ICI4" s="298"/>
      <c r="ICJ4" s="298"/>
      <c r="ICK4" s="297"/>
      <c r="ICL4" s="297"/>
      <c r="ICM4" s="297"/>
      <c r="ICN4" s="298"/>
      <c r="ICO4" s="299"/>
      <c r="ICP4" s="297"/>
      <c r="ICQ4" s="297"/>
      <c r="ICR4" s="299"/>
      <c r="ICS4" s="299"/>
      <c r="ICT4" s="297"/>
      <c r="ICU4" s="297"/>
      <c r="ICV4" s="299"/>
      <c r="ICW4" s="299"/>
      <c r="ICX4" s="297"/>
      <c r="ICY4" s="297"/>
      <c r="ICZ4" s="297"/>
      <c r="IDA4" s="16"/>
      <c r="IDB4" s="16"/>
      <c r="IDC4" s="16"/>
      <c r="IDD4" s="16"/>
      <c r="IDF4" s="297"/>
      <c r="IDG4" s="298"/>
      <c r="IDH4" s="298"/>
      <c r="IDI4" s="297"/>
      <c r="IDJ4" s="297"/>
      <c r="IDK4" s="297"/>
      <c r="IDL4" s="298"/>
      <c r="IDM4" s="299"/>
      <c r="IDN4" s="297"/>
      <c r="IDO4" s="297"/>
      <c r="IDP4" s="299"/>
      <c r="IDQ4" s="299"/>
      <c r="IDR4" s="297"/>
      <c r="IDS4" s="297"/>
      <c r="IDT4" s="299"/>
      <c r="IDU4" s="299"/>
      <c r="IDV4" s="297"/>
      <c r="IDW4" s="297"/>
      <c r="IDX4" s="297"/>
      <c r="IDY4" s="16"/>
      <c r="IDZ4" s="16"/>
      <c r="IEA4" s="16"/>
      <c r="IEB4" s="16"/>
      <c r="IED4" s="297"/>
      <c r="IEE4" s="298"/>
      <c r="IEF4" s="298"/>
      <c r="IEG4" s="297"/>
      <c r="IEH4" s="297"/>
      <c r="IEI4" s="297"/>
      <c r="IEJ4" s="298"/>
      <c r="IEK4" s="299"/>
      <c r="IEL4" s="297"/>
      <c r="IEM4" s="297"/>
      <c r="IEN4" s="299"/>
      <c r="IEO4" s="299"/>
      <c r="IEP4" s="297"/>
      <c r="IEQ4" s="297"/>
      <c r="IER4" s="299"/>
      <c r="IES4" s="299"/>
      <c r="IET4" s="297"/>
      <c r="IEU4" s="297"/>
      <c r="IEV4" s="297"/>
      <c r="IEW4" s="16"/>
      <c r="IEX4" s="16"/>
      <c r="IEY4" s="16"/>
      <c r="IEZ4" s="16"/>
      <c r="IFB4" s="297"/>
      <c r="IFC4" s="298"/>
      <c r="IFD4" s="298"/>
      <c r="IFE4" s="297"/>
      <c r="IFF4" s="297"/>
      <c r="IFG4" s="297"/>
      <c r="IFH4" s="298"/>
      <c r="IFI4" s="299"/>
      <c r="IFJ4" s="297"/>
      <c r="IFK4" s="297"/>
      <c r="IFL4" s="299"/>
      <c r="IFM4" s="299"/>
      <c r="IFN4" s="297"/>
      <c r="IFO4" s="297"/>
      <c r="IFP4" s="299"/>
      <c r="IFQ4" s="299"/>
      <c r="IFR4" s="297"/>
      <c r="IFS4" s="297"/>
      <c r="IFT4" s="297"/>
      <c r="IFU4" s="16"/>
      <c r="IFV4" s="16"/>
      <c r="IFW4" s="16"/>
      <c r="IFX4" s="16"/>
      <c r="IFZ4" s="297"/>
      <c r="IGA4" s="298"/>
      <c r="IGB4" s="298"/>
      <c r="IGC4" s="297"/>
      <c r="IGD4" s="297"/>
      <c r="IGE4" s="297"/>
      <c r="IGF4" s="298"/>
      <c r="IGG4" s="299"/>
      <c r="IGH4" s="297"/>
      <c r="IGI4" s="297"/>
      <c r="IGJ4" s="299"/>
      <c r="IGK4" s="299"/>
      <c r="IGL4" s="297"/>
      <c r="IGM4" s="297"/>
      <c r="IGN4" s="299"/>
      <c r="IGO4" s="299"/>
      <c r="IGP4" s="297"/>
      <c r="IGQ4" s="297"/>
      <c r="IGR4" s="297"/>
      <c r="IGS4" s="16"/>
      <c r="IGT4" s="16"/>
      <c r="IGU4" s="16"/>
      <c r="IGV4" s="16"/>
      <c r="IGX4" s="297"/>
      <c r="IGY4" s="298"/>
      <c r="IGZ4" s="298"/>
      <c r="IHA4" s="297"/>
      <c r="IHB4" s="297"/>
      <c r="IHC4" s="297"/>
      <c r="IHD4" s="298"/>
      <c r="IHE4" s="299"/>
      <c r="IHF4" s="297"/>
      <c r="IHG4" s="297"/>
      <c r="IHH4" s="299"/>
      <c r="IHI4" s="299"/>
      <c r="IHJ4" s="297"/>
      <c r="IHK4" s="297"/>
      <c r="IHL4" s="299"/>
      <c r="IHM4" s="299"/>
      <c r="IHN4" s="297"/>
      <c r="IHO4" s="297"/>
      <c r="IHP4" s="297"/>
      <c r="IHQ4" s="16"/>
      <c r="IHR4" s="16"/>
      <c r="IHS4" s="16"/>
      <c r="IHT4" s="16"/>
      <c r="IHV4" s="297"/>
      <c r="IHW4" s="298"/>
      <c r="IHX4" s="298"/>
      <c r="IHY4" s="297"/>
      <c r="IHZ4" s="297"/>
      <c r="IIA4" s="297"/>
      <c r="IIB4" s="298"/>
      <c r="IIC4" s="299"/>
      <c r="IID4" s="297"/>
      <c r="IIE4" s="297"/>
      <c r="IIF4" s="299"/>
      <c r="IIG4" s="299"/>
      <c r="IIH4" s="297"/>
      <c r="III4" s="297"/>
      <c r="IIJ4" s="299"/>
      <c r="IIK4" s="299"/>
      <c r="IIL4" s="297"/>
      <c r="IIM4" s="297"/>
      <c r="IIN4" s="297"/>
      <c r="IIO4" s="16"/>
      <c r="IIP4" s="16"/>
      <c r="IIQ4" s="16"/>
      <c r="IIR4" s="16"/>
      <c r="IIT4" s="297"/>
      <c r="IIU4" s="298"/>
      <c r="IIV4" s="298"/>
      <c r="IIW4" s="297"/>
      <c r="IIX4" s="297"/>
      <c r="IIY4" s="297"/>
      <c r="IIZ4" s="298"/>
      <c r="IJA4" s="299"/>
      <c r="IJB4" s="297"/>
      <c r="IJC4" s="297"/>
      <c r="IJD4" s="299"/>
      <c r="IJE4" s="299"/>
      <c r="IJF4" s="297"/>
      <c r="IJG4" s="297"/>
      <c r="IJH4" s="299"/>
      <c r="IJI4" s="299"/>
      <c r="IJJ4" s="297"/>
      <c r="IJK4" s="297"/>
      <c r="IJL4" s="297"/>
      <c r="IJM4" s="16"/>
      <c r="IJN4" s="16"/>
      <c r="IJO4" s="16"/>
      <c r="IJP4" s="16"/>
      <c r="IJR4" s="297"/>
      <c r="IJS4" s="298"/>
      <c r="IJT4" s="298"/>
      <c r="IJU4" s="297"/>
      <c r="IJV4" s="297"/>
      <c r="IJW4" s="297"/>
      <c r="IJX4" s="298"/>
      <c r="IJY4" s="299"/>
      <c r="IJZ4" s="297"/>
      <c r="IKA4" s="297"/>
      <c r="IKB4" s="299"/>
      <c r="IKC4" s="299"/>
      <c r="IKD4" s="297"/>
      <c r="IKE4" s="297"/>
      <c r="IKF4" s="299"/>
      <c r="IKG4" s="299"/>
      <c r="IKH4" s="297"/>
      <c r="IKI4" s="297"/>
      <c r="IKJ4" s="297"/>
      <c r="IKK4" s="16"/>
      <c r="IKL4" s="16"/>
      <c r="IKM4" s="16"/>
      <c r="IKN4" s="16"/>
      <c r="IKP4" s="297"/>
      <c r="IKQ4" s="298"/>
      <c r="IKR4" s="298"/>
      <c r="IKS4" s="297"/>
      <c r="IKT4" s="297"/>
      <c r="IKU4" s="297"/>
      <c r="IKV4" s="298"/>
      <c r="IKW4" s="299"/>
      <c r="IKX4" s="297"/>
      <c r="IKY4" s="297"/>
      <c r="IKZ4" s="299"/>
      <c r="ILA4" s="299"/>
      <c r="ILB4" s="297"/>
      <c r="ILC4" s="297"/>
      <c r="ILD4" s="299"/>
      <c r="ILE4" s="299"/>
      <c r="ILF4" s="297"/>
      <c r="ILG4" s="297"/>
      <c r="ILH4" s="297"/>
      <c r="ILI4" s="16"/>
      <c r="ILJ4" s="16"/>
      <c r="ILK4" s="16"/>
      <c r="ILL4" s="16"/>
      <c r="ILN4" s="297"/>
      <c r="ILO4" s="298"/>
      <c r="ILP4" s="298"/>
      <c r="ILQ4" s="297"/>
      <c r="ILR4" s="297"/>
      <c r="ILS4" s="297"/>
      <c r="ILT4" s="298"/>
      <c r="ILU4" s="299"/>
      <c r="ILV4" s="297"/>
      <c r="ILW4" s="297"/>
      <c r="ILX4" s="299"/>
      <c r="ILY4" s="299"/>
      <c r="ILZ4" s="297"/>
      <c r="IMA4" s="297"/>
      <c r="IMB4" s="299"/>
      <c r="IMC4" s="299"/>
      <c r="IMD4" s="297"/>
      <c r="IME4" s="297"/>
      <c r="IMF4" s="297"/>
      <c r="IMG4" s="16"/>
      <c r="IMH4" s="16"/>
      <c r="IMI4" s="16"/>
      <c r="IMJ4" s="16"/>
      <c r="IML4" s="297"/>
      <c r="IMM4" s="298"/>
      <c r="IMN4" s="298"/>
      <c r="IMO4" s="297"/>
      <c r="IMP4" s="297"/>
      <c r="IMQ4" s="297"/>
      <c r="IMR4" s="298"/>
      <c r="IMS4" s="299"/>
      <c r="IMT4" s="297"/>
      <c r="IMU4" s="297"/>
      <c r="IMV4" s="299"/>
      <c r="IMW4" s="299"/>
      <c r="IMX4" s="297"/>
      <c r="IMY4" s="297"/>
      <c r="IMZ4" s="299"/>
      <c r="INA4" s="299"/>
      <c r="INB4" s="297"/>
      <c r="INC4" s="297"/>
      <c r="IND4" s="297"/>
      <c r="INE4" s="16"/>
      <c r="INF4" s="16"/>
      <c r="ING4" s="16"/>
      <c r="INH4" s="16"/>
      <c r="INJ4" s="297"/>
      <c r="INK4" s="298"/>
      <c r="INL4" s="298"/>
      <c r="INM4" s="297"/>
      <c r="INN4" s="297"/>
      <c r="INO4" s="297"/>
      <c r="INP4" s="298"/>
      <c r="INQ4" s="299"/>
      <c r="INR4" s="297"/>
      <c r="INS4" s="297"/>
      <c r="INT4" s="299"/>
      <c r="INU4" s="299"/>
      <c r="INV4" s="297"/>
      <c r="INW4" s="297"/>
      <c r="INX4" s="299"/>
      <c r="INY4" s="299"/>
      <c r="INZ4" s="297"/>
      <c r="IOA4" s="297"/>
      <c r="IOB4" s="297"/>
      <c r="IOC4" s="16"/>
      <c r="IOD4" s="16"/>
      <c r="IOE4" s="16"/>
      <c r="IOF4" s="16"/>
      <c r="IOH4" s="297"/>
      <c r="IOI4" s="298"/>
      <c r="IOJ4" s="298"/>
      <c r="IOK4" s="297"/>
      <c r="IOL4" s="297"/>
      <c r="IOM4" s="297"/>
      <c r="ION4" s="298"/>
      <c r="IOO4" s="299"/>
      <c r="IOP4" s="297"/>
      <c r="IOQ4" s="297"/>
      <c r="IOR4" s="299"/>
      <c r="IOS4" s="299"/>
      <c r="IOT4" s="297"/>
      <c r="IOU4" s="297"/>
      <c r="IOV4" s="299"/>
      <c r="IOW4" s="299"/>
      <c r="IOX4" s="297"/>
      <c r="IOY4" s="297"/>
      <c r="IOZ4" s="297"/>
      <c r="IPA4" s="16"/>
      <c r="IPB4" s="16"/>
      <c r="IPC4" s="16"/>
      <c r="IPD4" s="16"/>
      <c r="IPF4" s="297"/>
      <c r="IPG4" s="298"/>
      <c r="IPH4" s="298"/>
      <c r="IPI4" s="297"/>
      <c r="IPJ4" s="297"/>
      <c r="IPK4" s="297"/>
      <c r="IPL4" s="298"/>
      <c r="IPM4" s="299"/>
      <c r="IPN4" s="297"/>
      <c r="IPO4" s="297"/>
      <c r="IPP4" s="299"/>
      <c r="IPQ4" s="299"/>
      <c r="IPR4" s="297"/>
      <c r="IPS4" s="297"/>
      <c r="IPT4" s="299"/>
      <c r="IPU4" s="299"/>
      <c r="IPV4" s="297"/>
      <c r="IPW4" s="297"/>
      <c r="IPX4" s="297"/>
      <c r="IPY4" s="16"/>
      <c r="IPZ4" s="16"/>
      <c r="IQA4" s="16"/>
      <c r="IQB4" s="16"/>
      <c r="IQD4" s="297"/>
      <c r="IQE4" s="298"/>
      <c r="IQF4" s="298"/>
      <c r="IQG4" s="297"/>
      <c r="IQH4" s="297"/>
      <c r="IQI4" s="297"/>
      <c r="IQJ4" s="298"/>
      <c r="IQK4" s="299"/>
      <c r="IQL4" s="297"/>
      <c r="IQM4" s="297"/>
      <c r="IQN4" s="299"/>
      <c r="IQO4" s="299"/>
      <c r="IQP4" s="297"/>
      <c r="IQQ4" s="297"/>
      <c r="IQR4" s="299"/>
      <c r="IQS4" s="299"/>
      <c r="IQT4" s="297"/>
      <c r="IQU4" s="297"/>
      <c r="IQV4" s="297"/>
      <c r="IQW4" s="16"/>
      <c r="IQX4" s="16"/>
      <c r="IQY4" s="16"/>
      <c r="IQZ4" s="16"/>
      <c r="IRB4" s="297"/>
      <c r="IRC4" s="298"/>
      <c r="IRD4" s="298"/>
      <c r="IRE4" s="297"/>
      <c r="IRF4" s="297"/>
      <c r="IRG4" s="297"/>
      <c r="IRH4" s="298"/>
      <c r="IRI4" s="299"/>
      <c r="IRJ4" s="297"/>
      <c r="IRK4" s="297"/>
      <c r="IRL4" s="299"/>
      <c r="IRM4" s="299"/>
      <c r="IRN4" s="297"/>
      <c r="IRO4" s="297"/>
      <c r="IRP4" s="299"/>
      <c r="IRQ4" s="299"/>
      <c r="IRR4" s="297"/>
      <c r="IRS4" s="297"/>
      <c r="IRT4" s="297"/>
      <c r="IRU4" s="16"/>
      <c r="IRV4" s="16"/>
      <c r="IRW4" s="16"/>
      <c r="IRX4" s="16"/>
      <c r="IRZ4" s="297"/>
      <c r="ISA4" s="298"/>
      <c r="ISB4" s="298"/>
      <c r="ISC4" s="297"/>
      <c r="ISD4" s="297"/>
      <c r="ISE4" s="297"/>
      <c r="ISF4" s="298"/>
      <c r="ISG4" s="299"/>
      <c r="ISH4" s="297"/>
      <c r="ISI4" s="297"/>
      <c r="ISJ4" s="299"/>
      <c r="ISK4" s="299"/>
      <c r="ISL4" s="297"/>
      <c r="ISM4" s="297"/>
      <c r="ISN4" s="299"/>
      <c r="ISO4" s="299"/>
      <c r="ISP4" s="297"/>
      <c r="ISQ4" s="297"/>
      <c r="ISR4" s="297"/>
      <c r="ISS4" s="16"/>
      <c r="IST4" s="16"/>
      <c r="ISU4" s="16"/>
      <c r="ISV4" s="16"/>
      <c r="ISX4" s="297"/>
      <c r="ISY4" s="298"/>
      <c r="ISZ4" s="298"/>
      <c r="ITA4" s="297"/>
      <c r="ITB4" s="297"/>
      <c r="ITC4" s="297"/>
      <c r="ITD4" s="298"/>
      <c r="ITE4" s="299"/>
      <c r="ITF4" s="297"/>
      <c r="ITG4" s="297"/>
      <c r="ITH4" s="299"/>
      <c r="ITI4" s="299"/>
      <c r="ITJ4" s="297"/>
      <c r="ITK4" s="297"/>
      <c r="ITL4" s="299"/>
      <c r="ITM4" s="299"/>
      <c r="ITN4" s="297"/>
      <c r="ITO4" s="297"/>
      <c r="ITP4" s="297"/>
      <c r="ITQ4" s="16"/>
      <c r="ITR4" s="16"/>
      <c r="ITS4" s="16"/>
      <c r="ITT4" s="16"/>
      <c r="ITV4" s="297"/>
      <c r="ITW4" s="298"/>
      <c r="ITX4" s="298"/>
      <c r="ITY4" s="297"/>
      <c r="ITZ4" s="297"/>
      <c r="IUA4" s="297"/>
      <c r="IUB4" s="298"/>
      <c r="IUC4" s="299"/>
      <c r="IUD4" s="297"/>
      <c r="IUE4" s="297"/>
      <c r="IUF4" s="299"/>
      <c r="IUG4" s="299"/>
      <c r="IUH4" s="297"/>
      <c r="IUI4" s="297"/>
      <c r="IUJ4" s="299"/>
      <c r="IUK4" s="299"/>
      <c r="IUL4" s="297"/>
      <c r="IUM4" s="297"/>
      <c r="IUN4" s="297"/>
      <c r="IUO4" s="16"/>
      <c r="IUP4" s="16"/>
      <c r="IUQ4" s="16"/>
      <c r="IUR4" s="16"/>
      <c r="IUT4" s="297"/>
      <c r="IUU4" s="298"/>
      <c r="IUV4" s="298"/>
      <c r="IUW4" s="297"/>
      <c r="IUX4" s="297"/>
      <c r="IUY4" s="297"/>
      <c r="IUZ4" s="298"/>
      <c r="IVA4" s="299"/>
      <c r="IVB4" s="297"/>
      <c r="IVC4" s="297"/>
      <c r="IVD4" s="299"/>
      <c r="IVE4" s="299"/>
      <c r="IVF4" s="297"/>
      <c r="IVG4" s="297"/>
      <c r="IVH4" s="299"/>
      <c r="IVI4" s="299"/>
      <c r="IVJ4" s="297"/>
      <c r="IVK4" s="297"/>
      <c r="IVL4" s="297"/>
      <c r="IVM4" s="16"/>
      <c r="IVN4" s="16"/>
      <c r="IVO4" s="16"/>
      <c r="IVP4" s="16"/>
      <c r="IVR4" s="297"/>
      <c r="IVS4" s="298"/>
      <c r="IVT4" s="298"/>
      <c r="IVU4" s="297"/>
      <c r="IVV4" s="297"/>
      <c r="IVW4" s="297"/>
      <c r="IVX4" s="298"/>
      <c r="IVY4" s="299"/>
      <c r="IVZ4" s="297"/>
      <c r="IWA4" s="297"/>
      <c r="IWB4" s="299"/>
      <c r="IWC4" s="299"/>
      <c r="IWD4" s="297"/>
      <c r="IWE4" s="297"/>
      <c r="IWF4" s="299"/>
      <c r="IWG4" s="299"/>
      <c r="IWH4" s="297"/>
      <c r="IWI4" s="297"/>
      <c r="IWJ4" s="297"/>
      <c r="IWK4" s="16"/>
      <c r="IWL4" s="16"/>
      <c r="IWM4" s="16"/>
      <c r="IWN4" s="16"/>
      <c r="IWP4" s="297"/>
      <c r="IWQ4" s="298"/>
      <c r="IWR4" s="298"/>
      <c r="IWS4" s="297"/>
      <c r="IWT4" s="297"/>
      <c r="IWU4" s="297"/>
      <c r="IWV4" s="298"/>
      <c r="IWW4" s="299"/>
      <c r="IWX4" s="297"/>
      <c r="IWY4" s="297"/>
      <c r="IWZ4" s="299"/>
      <c r="IXA4" s="299"/>
      <c r="IXB4" s="297"/>
      <c r="IXC4" s="297"/>
      <c r="IXD4" s="299"/>
      <c r="IXE4" s="299"/>
      <c r="IXF4" s="297"/>
      <c r="IXG4" s="297"/>
      <c r="IXH4" s="297"/>
      <c r="IXI4" s="16"/>
      <c r="IXJ4" s="16"/>
      <c r="IXK4" s="16"/>
      <c r="IXL4" s="16"/>
      <c r="IXN4" s="297"/>
      <c r="IXO4" s="298"/>
      <c r="IXP4" s="298"/>
      <c r="IXQ4" s="297"/>
      <c r="IXR4" s="297"/>
      <c r="IXS4" s="297"/>
      <c r="IXT4" s="298"/>
      <c r="IXU4" s="299"/>
      <c r="IXV4" s="297"/>
      <c r="IXW4" s="297"/>
      <c r="IXX4" s="299"/>
      <c r="IXY4" s="299"/>
      <c r="IXZ4" s="297"/>
      <c r="IYA4" s="297"/>
      <c r="IYB4" s="299"/>
      <c r="IYC4" s="299"/>
      <c r="IYD4" s="297"/>
      <c r="IYE4" s="297"/>
      <c r="IYF4" s="297"/>
      <c r="IYG4" s="16"/>
      <c r="IYH4" s="16"/>
      <c r="IYI4" s="16"/>
      <c r="IYJ4" s="16"/>
      <c r="IYL4" s="297"/>
      <c r="IYM4" s="298"/>
      <c r="IYN4" s="298"/>
      <c r="IYO4" s="297"/>
      <c r="IYP4" s="297"/>
      <c r="IYQ4" s="297"/>
      <c r="IYR4" s="298"/>
      <c r="IYS4" s="299"/>
      <c r="IYT4" s="297"/>
      <c r="IYU4" s="297"/>
      <c r="IYV4" s="299"/>
      <c r="IYW4" s="299"/>
      <c r="IYX4" s="297"/>
      <c r="IYY4" s="297"/>
      <c r="IYZ4" s="299"/>
      <c r="IZA4" s="299"/>
      <c r="IZB4" s="297"/>
      <c r="IZC4" s="297"/>
      <c r="IZD4" s="297"/>
      <c r="IZE4" s="16"/>
      <c r="IZF4" s="16"/>
      <c r="IZG4" s="16"/>
      <c r="IZH4" s="16"/>
      <c r="IZJ4" s="297"/>
      <c r="IZK4" s="298"/>
      <c r="IZL4" s="298"/>
      <c r="IZM4" s="297"/>
      <c r="IZN4" s="297"/>
      <c r="IZO4" s="297"/>
      <c r="IZP4" s="298"/>
      <c r="IZQ4" s="299"/>
      <c r="IZR4" s="297"/>
      <c r="IZS4" s="297"/>
      <c r="IZT4" s="299"/>
      <c r="IZU4" s="299"/>
      <c r="IZV4" s="297"/>
      <c r="IZW4" s="297"/>
      <c r="IZX4" s="299"/>
      <c r="IZY4" s="299"/>
      <c r="IZZ4" s="297"/>
      <c r="JAA4" s="297"/>
      <c r="JAB4" s="297"/>
      <c r="JAC4" s="16"/>
      <c r="JAD4" s="16"/>
      <c r="JAE4" s="16"/>
      <c r="JAF4" s="16"/>
      <c r="JAH4" s="297"/>
      <c r="JAI4" s="298"/>
      <c r="JAJ4" s="298"/>
      <c r="JAK4" s="297"/>
      <c r="JAL4" s="297"/>
      <c r="JAM4" s="297"/>
      <c r="JAN4" s="298"/>
      <c r="JAO4" s="299"/>
      <c r="JAP4" s="297"/>
      <c r="JAQ4" s="297"/>
      <c r="JAR4" s="299"/>
      <c r="JAS4" s="299"/>
      <c r="JAT4" s="297"/>
      <c r="JAU4" s="297"/>
      <c r="JAV4" s="299"/>
      <c r="JAW4" s="299"/>
      <c r="JAX4" s="297"/>
      <c r="JAY4" s="297"/>
      <c r="JAZ4" s="297"/>
      <c r="JBA4" s="16"/>
      <c r="JBB4" s="16"/>
      <c r="JBC4" s="16"/>
      <c r="JBD4" s="16"/>
      <c r="JBF4" s="297"/>
      <c r="JBG4" s="298"/>
      <c r="JBH4" s="298"/>
      <c r="JBI4" s="297"/>
      <c r="JBJ4" s="297"/>
      <c r="JBK4" s="297"/>
      <c r="JBL4" s="298"/>
      <c r="JBM4" s="299"/>
      <c r="JBN4" s="297"/>
      <c r="JBO4" s="297"/>
      <c r="JBP4" s="299"/>
      <c r="JBQ4" s="299"/>
      <c r="JBR4" s="297"/>
      <c r="JBS4" s="297"/>
      <c r="JBT4" s="299"/>
      <c r="JBU4" s="299"/>
      <c r="JBV4" s="297"/>
      <c r="JBW4" s="297"/>
      <c r="JBX4" s="297"/>
      <c r="JBY4" s="16"/>
      <c r="JBZ4" s="16"/>
      <c r="JCA4" s="16"/>
      <c r="JCB4" s="16"/>
      <c r="JCD4" s="297"/>
      <c r="JCE4" s="298"/>
      <c r="JCF4" s="298"/>
      <c r="JCG4" s="297"/>
      <c r="JCH4" s="297"/>
      <c r="JCI4" s="297"/>
      <c r="JCJ4" s="298"/>
      <c r="JCK4" s="299"/>
      <c r="JCL4" s="297"/>
      <c r="JCM4" s="297"/>
      <c r="JCN4" s="299"/>
      <c r="JCO4" s="299"/>
      <c r="JCP4" s="297"/>
      <c r="JCQ4" s="297"/>
      <c r="JCR4" s="299"/>
      <c r="JCS4" s="299"/>
      <c r="JCT4" s="297"/>
      <c r="JCU4" s="297"/>
      <c r="JCV4" s="297"/>
      <c r="JCW4" s="16"/>
      <c r="JCX4" s="16"/>
      <c r="JCY4" s="16"/>
      <c r="JCZ4" s="16"/>
      <c r="JDB4" s="297"/>
      <c r="JDC4" s="298"/>
      <c r="JDD4" s="298"/>
      <c r="JDE4" s="297"/>
      <c r="JDF4" s="297"/>
      <c r="JDG4" s="297"/>
      <c r="JDH4" s="298"/>
      <c r="JDI4" s="299"/>
      <c r="JDJ4" s="297"/>
      <c r="JDK4" s="297"/>
      <c r="JDL4" s="299"/>
      <c r="JDM4" s="299"/>
      <c r="JDN4" s="297"/>
      <c r="JDO4" s="297"/>
      <c r="JDP4" s="299"/>
      <c r="JDQ4" s="299"/>
      <c r="JDR4" s="297"/>
      <c r="JDS4" s="297"/>
      <c r="JDT4" s="297"/>
      <c r="JDU4" s="16"/>
      <c r="JDV4" s="16"/>
      <c r="JDW4" s="16"/>
      <c r="JDX4" s="16"/>
      <c r="JDZ4" s="297"/>
      <c r="JEA4" s="298"/>
      <c r="JEB4" s="298"/>
      <c r="JEC4" s="297"/>
      <c r="JED4" s="297"/>
      <c r="JEE4" s="297"/>
      <c r="JEF4" s="298"/>
      <c r="JEG4" s="299"/>
      <c r="JEH4" s="297"/>
      <c r="JEI4" s="297"/>
      <c r="JEJ4" s="299"/>
      <c r="JEK4" s="299"/>
      <c r="JEL4" s="297"/>
      <c r="JEM4" s="297"/>
      <c r="JEN4" s="299"/>
      <c r="JEO4" s="299"/>
      <c r="JEP4" s="297"/>
      <c r="JEQ4" s="297"/>
      <c r="JER4" s="297"/>
      <c r="JES4" s="16"/>
      <c r="JET4" s="16"/>
      <c r="JEU4" s="16"/>
      <c r="JEV4" s="16"/>
      <c r="JEX4" s="297"/>
      <c r="JEY4" s="298"/>
      <c r="JEZ4" s="298"/>
      <c r="JFA4" s="297"/>
      <c r="JFB4" s="297"/>
      <c r="JFC4" s="297"/>
      <c r="JFD4" s="298"/>
      <c r="JFE4" s="299"/>
      <c r="JFF4" s="297"/>
      <c r="JFG4" s="297"/>
      <c r="JFH4" s="299"/>
      <c r="JFI4" s="299"/>
      <c r="JFJ4" s="297"/>
      <c r="JFK4" s="297"/>
      <c r="JFL4" s="299"/>
      <c r="JFM4" s="299"/>
      <c r="JFN4" s="297"/>
      <c r="JFO4" s="297"/>
      <c r="JFP4" s="297"/>
      <c r="JFQ4" s="16"/>
      <c r="JFR4" s="16"/>
      <c r="JFS4" s="16"/>
      <c r="JFT4" s="16"/>
      <c r="JFV4" s="297"/>
      <c r="JFW4" s="298"/>
      <c r="JFX4" s="298"/>
      <c r="JFY4" s="297"/>
      <c r="JFZ4" s="297"/>
      <c r="JGA4" s="297"/>
      <c r="JGB4" s="298"/>
      <c r="JGC4" s="299"/>
      <c r="JGD4" s="297"/>
      <c r="JGE4" s="297"/>
      <c r="JGF4" s="299"/>
      <c r="JGG4" s="299"/>
      <c r="JGH4" s="297"/>
      <c r="JGI4" s="297"/>
      <c r="JGJ4" s="299"/>
      <c r="JGK4" s="299"/>
      <c r="JGL4" s="297"/>
      <c r="JGM4" s="297"/>
      <c r="JGN4" s="297"/>
      <c r="JGO4" s="16"/>
      <c r="JGP4" s="16"/>
      <c r="JGQ4" s="16"/>
      <c r="JGR4" s="16"/>
      <c r="JGT4" s="297"/>
      <c r="JGU4" s="298"/>
      <c r="JGV4" s="298"/>
      <c r="JGW4" s="297"/>
      <c r="JGX4" s="297"/>
      <c r="JGY4" s="297"/>
      <c r="JGZ4" s="298"/>
      <c r="JHA4" s="299"/>
      <c r="JHB4" s="297"/>
      <c r="JHC4" s="297"/>
      <c r="JHD4" s="299"/>
      <c r="JHE4" s="299"/>
      <c r="JHF4" s="297"/>
      <c r="JHG4" s="297"/>
      <c r="JHH4" s="299"/>
      <c r="JHI4" s="299"/>
      <c r="JHJ4" s="297"/>
      <c r="JHK4" s="297"/>
      <c r="JHL4" s="297"/>
      <c r="JHM4" s="16"/>
      <c r="JHN4" s="16"/>
      <c r="JHO4" s="16"/>
      <c r="JHP4" s="16"/>
      <c r="JHR4" s="297"/>
      <c r="JHS4" s="298"/>
      <c r="JHT4" s="298"/>
      <c r="JHU4" s="297"/>
      <c r="JHV4" s="297"/>
      <c r="JHW4" s="297"/>
      <c r="JHX4" s="298"/>
      <c r="JHY4" s="299"/>
      <c r="JHZ4" s="297"/>
      <c r="JIA4" s="297"/>
      <c r="JIB4" s="299"/>
      <c r="JIC4" s="299"/>
      <c r="JID4" s="297"/>
      <c r="JIE4" s="297"/>
      <c r="JIF4" s="299"/>
      <c r="JIG4" s="299"/>
      <c r="JIH4" s="297"/>
      <c r="JII4" s="297"/>
      <c r="JIJ4" s="297"/>
      <c r="JIK4" s="16"/>
      <c r="JIL4" s="16"/>
      <c r="JIM4" s="16"/>
      <c r="JIN4" s="16"/>
      <c r="JIP4" s="297"/>
      <c r="JIQ4" s="298"/>
      <c r="JIR4" s="298"/>
      <c r="JIS4" s="297"/>
      <c r="JIT4" s="297"/>
      <c r="JIU4" s="297"/>
      <c r="JIV4" s="298"/>
      <c r="JIW4" s="299"/>
      <c r="JIX4" s="297"/>
      <c r="JIY4" s="297"/>
      <c r="JIZ4" s="299"/>
      <c r="JJA4" s="299"/>
      <c r="JJB4" s="297"/>
      <c r="JJC4" s="297"/>
      <c r="JJD4" s="299"/>
      <c r="JJE4" s="299"/>
      <c r="JJF4" s="297"/>
      <c r="JJG4" s="297"/>
      <c r="JJH4" s="297"/>
      <c r="JJI4" s="16"/>
      <c r="JJJ4" s="16"/>
      <c r="JJK4" s="16"/>
      <c r="JJL4" s="16"/>
      <c r="JJN4" s="297"/>
      <c r="JJO4" s="298"/>
      <c r="JJP4" s="298"/>
      <c r="JJQ4" s="297"/>
      <c r="JJR4" s="297"/>
      <c r="JJS4" s="297"/>
      <c r="JJT4" s="298"/>
      <c r="JJU4" s="299"/>
      <c r="JJV4" s="297"/>
      <c r="JJW4" s="297"/>
      <c r="JJX4" s="299"/>
      <c r="JJY4" s="299"/>
      <c r="JJZ4" s="297"/>
      <c r="JKA4" s="297"/>
      <c r="JKB4" s="299"/>
      <c r="JKC4" s="299"/>
      <c r="JKD4" s="297"/>
      <c r="JKE4" s="297"/>
      <c r="JKF4" s="297"/>
      <c r="JKG4" s="16"/>
      <c r="JKH4" s="16"/>
      <c r="JKI4" s="16"/>
      <c r="JKJ4" s="16"/>
      <c r="JKL4" s="297"/>
      <c r="JKM4" s="298"/>
      <c r="JKN4" s="298"/>
      <c r="JKO4" s="297"/>
      <c r="JKP4" s="297"/>
      <c r="JKQ4" s="297"/>
      <c r="JKR4" s="298"/>
      <c r="JKS4" s="299"/>
      <c r="JKT4" s="297"/>
      <c r="JKU4" s="297"/>
      <c r="JKV4" s="299"/>
      <c r="JKW4" s="299"/>
      <c r="JKX4" s="297"/>
      <c r="JKY4" s="297"/>
      <c r="JKZ4" s="299"/>
      <c r="JLA4" s="299"/>
      <c r="JLB4" s="297"/>
      <c r="JLC4" s="297"/>
      <c r="JLD4" s="297"/>
      <c r="JLE4" s="16"/>
      <c r="JLF4" s="16"/>
      <c r="JLG4" s="16"/>
      <c r="JLH4" s="16"/>
      <c r="JLJ4" s="297"/>
      <c r="JLK4" s="298"/>
      <c r="JLL4" s="298"/>
      <c r="JLM4" s="297"/>
      <c r="JLN4" s="297"/>
      <c r="JLO4" s="297"/>
      <c r="JLP4" s="298"/>
      <c r="JLQ4" s="299"/>
      <c r="JLR4" s="297"/>
      <c r="JLS4" s="297"/>
      <c r="JLT4" s="299"/>
      <c r="JLU4" s="299"/>
      <c r="JLV4" s="297"/>
      <c r="JLW4" s="297"/>
      <c r="JLX4" s="299"/>
      <c r="JLY4" s="299"/>
      <c r="JLZ4" s="297"/>
      <c r="JMA4" s="297"/>
      <c r="JMB4" s="297"/>
      <c r="JMC4" s="16"/>
      <c r="JMD4" s="16"/>
      <c r="JME4" s="16"/>
      <c r="JMF4" s="16"/>
      <c r="JMH4" s="297"/>
      <c r="JMI4" s="298"/>
      <c r="JMJ4" s="298"/>
      <c r="JMK4" s="297"/>
      <c r="JML4" s="297"/>
      <c r="JMM4" s="297"/>
      <c r="JMN4" s="298"/>
      <c r="JMO4" s="299"/>
      <c r="JMP4" s="297"/>
      <c r="JMQ4" s="297"/>
      <c r="JMR4" s="299"/>
      <c r="JMS4" s="299"/>
      <c r="JMT4" s="297"/>
      <c r="JMU4" s="297"/>
      <c r="JMV4" s="299"/>
      <c r="JMW4" s="299"/>
      <c r="JMX4" s="297"/>
      <c r="JMY4" s="297"/>
      <c r="JMZ4" s="297"/>
      <c r="JNA4" s="16"/>
      <c r="JNB4" s="16"/>
      <c r="JNC4" s="16"/>
      <c r="JND4" s="16"/>
      <c r="JNF4" s="297"/>
      <c r="JNG4" s="298"/>
      <c r="JNH4" s="298"/>
      <c r="JNI4" s="297"/>
      <c r="JNJ4" s="297"/>
      <c r="JNK4" s="297"/>
      <c r="JNL4" s="298"/>
      <c r="JNM4" s="299"/>
      <c r="JNN4" s="297"/>
      <c r="JNO4" s="297"/>
      <c r="JNP4" s="299"/>
      <c r="JNQ4" s="299"/>
      <c r="JNR4" s="297"/>
      <c r="JNS4" s="297"/>
      <c r="JNT4" s="299"/>
      <c r="JNU4" s="299"/>
      <c r="JNV4" s="297"/>
      <c r="JNW4" s="297"/>
      <c r="JNX4" s="297"/>
      <c r="JNY4" s="16"/>
      <c r="JNZ4" s="16"/>
      <c r="JOA4" s="16"/>
      <c r="JOB4" s="16"/>
      <c r="JOD4" s="297"/>
      <c r="JOE4" s="298"/>
      <c r="JOF4" s="298"/>
      <c r="JOG4" s="297"/>
      <c r="JOH4" s="297"/>
      <c r="JOI4" s="297"/>
      <c r="JOJ4" s="298"/>
      <c r="JOK4" s="299"/>
      <c r="JOL4" s="297"/>
      <c r="JOM4" s="297"/>
      <c r="JON4" s="299"/>
      <c r="JOO4" s="299"/>
      <c r="JOP4" s="297"/>
      <c r="JOQ4" s="297"/>
      <c r="JOR4" s="299"/>
      <c r="JOS4" s="299"/>
      <c r="JOT4" s="297"/>
      <c r="JOU4" s="297"/>
      <c r="JOV4" s="297"/>
      <c r="JOW4" s="16"/>
      <c r="JOX4" s="16"/>
      <c r="JOY4" s="16"/>
      <c r="JOZ4" s="16"/>
      <c r="JPB4" s="297"/>
      <c r="JPC4" s="298"/>
      <c r="JPD4" s="298"/>
      <c r="JPE4" s="297"/>
      <c r="JPF4" s="297"/>
      <c r="JPG4" s="297"/>
      <c r="JPH4" s="298"/>
      <c r="JPI4" s="299"/>
      <c r="JPJ4" s="297"/>
      <c r="JPK4" s="297"/>
      <c r="JPL4" s="299"/>
      <c r="JPM4" s="299"/>
      <c r="JPN4" s="297"/>
      <c r="JPO4" s="297"/>
      <c r="JPP4" s="299"/>
      <c r="JPQ4" s="299"/>
      <c r="JPR4" s="297"/>
      <c r="JPS4" s="297"/>
      <c r="JPT4" s="297"/>
      <c r="JPU4" s="16"/>
      <c r="JPV4" s="16"/>
      <c r="JPW4" s="16"/>
      <c r="JPX4" s="16"/>
      <c r="JPZ4" s="297"/>
      <c r="JQA4" s="298"/>
      <c r="JQB4" s="298"/>
      <c r="JQC4" s="297"/>
      <c r="JQD4" s="297"/>
      <c r="JQE4" s="297"/>
      <c r="JQF4" s="298"/>
      <c r="JQG4" s="299"/>
      <c r="JQH4" s="297"/>
      <c r="JQI4" s="297"/>
      <c r="JQJ4" s="299"/>
      <c r="JQK4" s="299"/>
      <c r="JQL4" s="297"/>
      <c r="JQM4" s="297"/>
      <c r="JQN4" s="299"/>
      <c r="JQO4" s="299"/>
      <c r="JQP4" s="297"/>
      <c r="JQQ4" s="297"/>
      <c r="JQR4" s="297"/>
      <c r="JQS4" s="16"/>
      <c r="JQT4" s="16"/>
      <c r="JQU4" s="16"/>
      <c r="JQV4" s="16"/>
      <c r="JQX4" s="297"/>
      <c r="JQY4" s="298"/>
      <c r="JQZ4" s="298"/>
      <c r="JRA4" s="297"/>
      <c r="JRB4" s="297"/>
      <c r="JRC4" s="297"/>
      <c r="JRD4" s="298"/>
      <c r="JRE4" s="299"/>
      <c r="JRF4" s="297"/>
      <c r="JRG4" s="297"/>
      <c r="JRH4" s="299"/>
      <c r="JRI4" s="299"/>
      <c r="JRJ4" s="297"/>
      <c r="JRK4" s="297"/>
      <c r="JRL4" s="299"/>
      <c r="JRM4" s="299"/>
      <c r="JRN4" s="297"/>
      <c r="JRO4" s="297"/>
      <c r="JRP4" s="297"/>
      <c r="JRQ4" s="16"/>
      <c r="JRR4" s="16"/>
      <c r="JRS4" s="16"/>
      <c r="JRT4" s="16"/>
      <c r="JRV4" s="297"/>
      <c r="JRW4" s="298"/>
      <c r="JRX4" s="298"/>
      <c r="JRY4" s="297"/>
      <c r="JRZ4" s="297"/>
      <c r="JSA4" s="297"/>
      <c r="JSB4" s="298"/>
      <c r="JSC4" s="299"/>
      <c r="JSD4" s="297"/>
      <c r="JSE4" s="297"/>
      <c r="JSF4" s="299"/>
      <c r="JSG4" s="299"/>
      <c r="JSH4" s="297"/>
      <c r="JSI4" s="297"/>
      <c r="JSJ4" s="299"/>
      <c r="JSK4" s="299"/>
      <c r="JSL4" s="297"/>
      <c r="JSM4" s="297"/>
      <c r="JSN4" s="297"/>
      <c r="JSO4" s="16"/>
      <c r="JSP4" s="16"/>
      <c r="JSQ4" s="16"/>
      <c r="JSR4" s="16"/>
      <c r="JST4" s="297"/>
      <c r="JSU4" s="298"/>
      <c r="JSV4" s="298"/>
      <c r="JSW4" s="297"/>
      <c r="JSX4" s="297"/>
      <c r="JSY4" s="297"/>
      <c r="JSZ4" s="298"/>
      <c r="JTA4" s="299"/>
      <c r="JTB4" s="297"/>
      <c r="JTC4" s="297"/>
      <c r="JTD4" s="299"/>
      <c r="JTE4" s="299"/>
      <c r="JTF4" s="297"/>
      <c r="JTG4" s="297"/>
      <c r="JTH4" s="299"/>
      <c r="JTI4" s="299"/>
      <c r="JTJ4" s="297"/>
      <c r="JTK4" s="297"/>
      <c r="JTL4" s="297"/>
      <c r="JTM4" s="16"/>
      <c r="JTN4" s="16"/>
      <c r="JTO4" s="16"/>
      <c r="JTP4" s="16"/>
      <c r="JTR4" s="297"/>
      <c r="JTS4" s="298"/>
      <c r="JTT4" s="298"/>
      <c r="JTU4" s="297"/>
      <c r="JTV4" s="297"/>
      <c r="JTW4" s="297"/>
      <c r="JTX4" s="298"/>
      <c r="JTY4" s="299"/>
      <c r="JTZ4" s="297"/>
      <c r="JUA4" s="297"/>
      <c r="JUB4" s="299"/>
      <c r="JUC4" s="299"/>
      <c r="JUD4" s="297"/>
      <c r="JUE4" s="297"/>
      <c r="JUF4" s="299"/>
      <c r="JUG4" s="299"/>
      <c r="JUH4" s="297"/>
      <c r="JUI4" s="297"/>
      <c r="JUJ4" s="297"/>
      <c r="JUK4" s="16"/>
      <c r="JUL4" s="16"/>
      <c r="JUM4" s="16"/>
      <c r="JUN4" s="16"/>
      <c r="JUP4" s="297"/>
      <c r="JUQ4" s="298"/>
      <c r="JUR4" s="298"/>
      <c r="JUS4" s="297"/>
      <c r="JUT4" s="297"/>
      <c r="JUU4" s="297"/>
      <c r="JUV4" s="298"/>
      <c r="JUW4" s="299"/>
      <c r="JUX4" s="297"/>
      <c r="JUY4" s="297"/>
      <c r="JUZ4" s="299"/>
      <c r="JVA4" s="299"/>
      <c r="JVB4" s="297"/>
      <c r="JVC4" s="297"/>
      <c r="JVD4" s="299"/>
      <c r="JVE4" s="299"/>
      <c r="JVF4" s="297"/>
      <c r="JVG4" s="297"/>
      <c r="JVH4" s="297"/>
      <c r="JVI4" s="16"/>
      <c r="JVJ4" s="16"/>
      <c r="JVK4" s="16"/>
      <c r="JVL4" s="16"/>
      <c r="JVN4" s="297"/>
      <c r="JVO4" s="298"/>
      <c r="JVP4" s="298"/>
      <c r="JVQ4" s="297"/>
      <c r="JVR4" s="297"/>
      <c r="JVS4" s="297"/>
      <c r="JVT4" s="298"/>
      <c r="JVU4" s="299"/>
      <c r="JVV4" s="297"/>
      <c r="JVW4" s="297"/>
      <c r="JVX4" s="299"/>
      <c r="JVY4" s="299"/>
      <c r="JVZ4" s="297"/>
      <c r="JWA4" s="297"/>
      <c r="JWB4" s="299"/>
      <c r="JWC4" s="299"/>
      <c r="JWD4" s="297"/>
      <c r="JWE4" s="297"/>
      <c r="JWF4" s="297"/>
      <c r="JWG4" s="16"/>
      <c r="JWH4" s="16"/>
      <c r="JWI4" s="16"/>
      <c r="JWJ4" s="16"/>
      <c r="JWL4" s="297"/>
      <c r="JWM4" s="298"/>
      <c r="JWN4" s="298"/>
      <c r="JWO4" s="297"/>
      <c r="JWP4" s="297"/>
      <c r="JWQ4" s="297"/>
      <c r="JWR4" s="298"/>
      <c r="JWS4" s="299"/>
      <c r="JWT4" s="297"/>
      <c r="JWU4" s="297"/>
      <c r="JWV4" s="299"/>
      <c r="JWW4" s="299"/>
      <c r="JWX4" s="297"/>
      <c r="JWY4" s="297"/>
      <c r="JWZ4" s="299"/>
      <c r="JXA4" s="299"/>
      <c r="JXB4" s="297"/>
      <c r="JXC4" s="297"/>
      <c r="JXD4" s="297"/>
      <c r="JXE4" s="16"/>
      <c r="JXF4" s="16"/>
      <c r="JXG4" s="16"/>
      <c r="JXH4" s="16"/>
      <c r="JXJ4" s="297"/>
      <c r="JXK4" s="298"/>
      <c r="JXL4" s="298"/>
      <c r="JXM4" s="297"/>
      <c r="JXN4" s="297"/>
      <c r="JXO4" s="297"/>
      <c r="JXP4" s="298"/>
      <c r="JXQ4" s="299"/>
      <c r="JXR4" s="297"/>
      <c r="JXS4" s="297"/>
      <c r="JXT4" s="299"/>
      <c r="JXU4" s="299"/>
      <c r="JXV4" s="297"/>
      <c r="JXW4" s="297"/>
      <c r="JXX4" s="299"/>
      <c r="JXY4" s="299"/>
      <c r="JXZ4" s="297"/>
      <c r="JYA4" s="297"/>
      <c r="JYB4" s="297"/>
      <c r="JYC4" s="16"/>
      <c r="JYD4" s="16"/>
      <c r="JYE4" s="16"/>
      <c r="JYF4" s="16"/>
      <c r="JYH4" s="297"/>
      <c r="JYI4" s="298"/>
      <c r="JYJ4" s="298"/>
      <c r="JYK4" s="297"/>
      <c r="JYL4" s="297"/>
      <c r="JYM4" s="297"/>
      <c r="JYN4" s="298"/>
      <c r="JYO4" s="299"/>
      <c r="JYP4" s="297"/>
      <c r="JYQ4" s="297"/>
      <c r="JYR4" s="299"/>
      <c r="JYS4" s="299"/>
      <c r="JYT4" s="297"/>
      <c r="JYU4" s="297"/>
      <c r="JYV4" s="299"/>
      <c r="JYW4" s="299"/>
      <c r="JYX4" s="297"/>
      <c r="JYY4" s="297"/>
      <c r="JYZ4" s="297"/>
      <c r="JZA4" s="16"/>
      <c r="JZB4" s="16"/>
      <c r="JZC4" s="16"/>
      <c r="JZD4" s="16"/>
      <c r="JZF4" s="297"/>
      <c r="JZG4" s="298"/>
      <c r="JZH4" s="298"/>
      <c r="JZI4" s="297"/>
      <c r="JZJ4" s="297"/>
      <c r="JZK4" s="297"/>
      <c r="JZL4" s="298"/>
      <c r="JZM4" s="299"/>
      <c r="JZN4" s="297"/>
      <c r="JZO4" s="297"/>
      <c r="JZP4" s="299"/>
      <c r="JZQ4" s="299"/>
      <c r="JZR4" s="297"/>
      <c r="JZS4" s="297"/>
      <c r="JZT4" s="299"/>
      <c r="JZU4" s="299"/>
      <c r="JZV4" s="297"/>
      <c r="JZW4" s="297"/>
      <c r="JZX4" s="297"/>
      <c r="JZY4" s="16"/>
      <c r="JZZ4" s="16"/>
      <c r="KAA4" s="16"/>
      <c r="KAB4" s="16"/>
      <c r="KAD4" s="297"/>
      <c r="KAE4" s="298"/>
      <c r="KAF4" s="298"/>
      <c r="KAG4" s="297"/>
      <c r="KAH4" s="297"/>
      <c r="KAI4" s="297"/>
      <c r="KAJ4" s="298"/>
      <c r="KAK4" s="299"/>
      <c r="KAL4" s="297"/>
      <c r="KAM4" s="297"/>
      <c r="KAN4" s="299"/>
      <c r="KAO4" s="299"/>
      <c r="KAP4" s="297"/>
      <c r="KAQ4" s="297"/>
      <c r="KAR4" s="299"/>
      <c r="KAS4" s="299"/>
      <c r="KAT4" s="297"/>
      <c r="KAU4" s="297"/>
      <c r="KAV4" s="297"/>
      <c r="KAW4" s="16"/>
      <c r="KAX4" s="16"/>
      <c r="KAY4" s="16"/>
      <c r="KAZ4" s="16"/>
      <c r="KBB4" s="297"/>
      <c r="KBC4" s="298"/>
      <c r="KBD4" s="298"/>
      <c r="KBE4" s="297"/>
      <c r="KBF4" s="297"/>
      <c r="KBG4" s="297"/>
      <c r="KBH4" s="298"/>
      <c r="KBI4" s="299"/>
      <c r="KBJ4" s="297"/>
      <c r="KBK4" s="297"/>
      <c r="KBL4" s="299"/>
      <c r="KBM4" s="299"/>
      <c r="KBN4" s="297"/>
      <c r="KBO4" s="297"/>
      <c r="KBP4" s="299"/>
      <c r="KBQ4" s="299"/>
      <c r="KBR4" s="297"/>
      <c r="KBS4" s="297"/>
      <c r="KBT4" s="297"/>
      <c r="KBU4" s="16"/>
      <c r="KBV4" s="16"/>
      <c r="KBW4" s="16"/>
      <c r="KBX4" s="16"/>
      <c r="KBZ4" s="297"/>
      <c r="KCA4" s="298"/>
      <c r="KCB4" s="298"/>
      <c r="KCC4" s="297"/>
      <c r="KCD4" s="297"/>
      <c r="KCE4" s="297"/>
      <c r="KCF4" s="298"/>
      <c r="KCG4" s="299"/>
      <c r="KCH4" s="297"/>
      <c r="KCI4" s="297"/>
      <c r="KCJ4" s="299"/>
      <c r="KCK4" s="299"/>
      <c r="KCL4" s="297"/>
      <c r="KCM4" s="297"/>
      <c r="KCN4" s="299"/>
      <c r="KCO4" s="299"/>
      <c r="KCP4" s="297"/>
      <c r="KCQ4" s="297"/>
      <c r="KCR4" s="297"/>
      <c r="KCS4" s="16"/>
      <c r="KCT4" s="16"/>
      <c r="KCU4" s="16"/>
      <c r="KCV4" s="16"/>
      <c r="KCX4" s="297"/>
      <c r="KCY4" s="298"/>
      <c r="KCZ4" s="298"/>
      <c r="KDA4" s="297"/>
      <c r="KDB4" s="297"/>
      <c r="KDC4" s="297"/>
      <c r="KDD4" s="298"/>
      <c r="KDE4" s="299"/>
      <c r="KDF4" s="297"/>
      <c r="KDG4" s="297"/>
      <c r="KDH4" s="299"/>
      <c r="KDI4" s="299"/>
      <c r="KDJ4" s="297"/>
      <c r="KDK4" s="297"/>
      <c r="KDL4" s="299"/>
      <c r="KDM4" s="299"/>
      <c r="KDN4" s="297"/>
      <c r="KDO4" s="297"/>
      <c r="KDP4" s="297"/>
      <c r="KDQ4" s="16"/>
      <c r="KDR4" s="16"/>
      <c r="KDS4" s="16"/>
      <c r="KDT4" s="16"/>
      <c r="KDV4" s="297"/>
      <c r="KDW4" s="298"/>
      <c r="KDX4" s="298"/>
      <c r="KDY4" s="297"/>
      <c r="KDZ4" s="297"/>
      <c r="KEA4" s="297"/>
      <c r="KEB4" s="298"/>
      <c r="KEC4" s="299"/>
      <c r="KED4" s="297"/>
      <c r="KEE4" s="297"/>
      <c r="KEF4" s="299"/>
      <c r="KEG4" s="299"/>
      <c r="KEH4" s="297"/>
      <c r="KEI4" s="297"/>
      <c r="KEJ4" s="299"/>
      <c r="KEK4" s="299"/>
      <c r="KEL4" s="297"/>
      <c r="KEM4" s="297"/>
      <c r="KEN4" s="297"/>
      <c r="KEO4" s="16"/>
      <c r="KEP4" s="16"/>
      <c r="KEQ4" s="16"/>
      <c r="KER4" s="16"/>
      <c r="KET4" s="297"/>
      <c r="KEU4" s="298"/>
      <c r="KEV4" s="298"/>
      <c r="KEW4" s="297"/>
      <c r="KEX4" s="297"/>
      <c r="KEY4" s="297"/>
      <c r="KEZ4" s="298"/>
      <c r="KFA4" s="299"/>
      <c r="KFB4" s="297"/>
      <c r="KFC4" s="297"/>
      <c r="KFD4" s="299"/>
      <c r="KFE4" s="299"/>
      <c r="KFF4" s="297"/>
      <c r="KFG4" s="297"/>
      <c r="KFH4" s="299"/>
      <c r="KFI4" s="299"/>
      <c r="KFJ4" s="297"/>
      <c r="KFK4" s="297"/>
      <c r="KFL4" s="297"/>
      <c r="KFM4" s="16"/>
      <c r="KFN4" s="16"/>
      <c r="KFO4" s="16"/>
      <c r="KFP4" s="16"/>
      <c r="KFR4" s="297"/>
      <c r="KFS4" s="298"/>
      <c r="KFT4" s="298"/>
      <c r="KFU4" s="297"/>
      <c r="KFV4" s="297"/>
      <c r="KFW4" s="297"/>
      <c r="KFX4" s="298"/>
      <c r="KFY4" s="299"/>
      <c r="KFZ4" s="297"/>
      <c r="KGA4" s="297"/>
      <c r="KGB4" s="299"/>
      <c r="KGC4" s="299"/>
      <c r="KGD4" s="297"/>
      <c r="KGE4" s="297"/>
      <c r="KGF4" s="299"/>
      <c r="KGG4" s="299"/>
      <c r="KGH4" s="297"/>
      <c r="KGI4" s="297"/>
      <c r="KGJ4" s="297"/>
      <c r="KGK4" s="16"/>
      <c r="KGL4" s="16"/>
      <c r="KGM4" s="16"/>
      <c r="KGN4" s="16"/>
      <c r="KGP4" s="297"/>
      <c r="KGQ4" s="298"/>
      <c r="KGR4" s="298"/>
      <c r="KGS4" s="297"/>
      <c r="KGT4" s="297"/>
      <c r="KGU4" s="297"/>
      <c r="KGV4" s="298"/>
      <c r="KGW4" s="299"/>
      <c r="KGX4" s="297"/>
      <c r="KGY4" s="297"/>
      <c r="KGZ4" s="299"/>
      <c r="KHA4" s="299"/>
      <c r="KHB4" s="297"/>
      <c r="KHC4" s="297"/>
      <c r="KHD4" s="299"/>
      <c r="KHE4" s="299"/>
      <c r="KHF4" s="297"/>
      <c r="KHG4" s="297"/>
      <c r="KHH4" s="297"/>
      <c r="KHI4" s="16"/>
      <c r="KHJ4" s="16"/>
      <c r="KHK4" s="16"/>
      <c r="KHL4" s="16"/>
      <c r="KHN4" s="297"/>
      <c r="KHO4" s="298"/>
      <c r="KHP4" s="298"/>
      <c r="KHQ4" s="297"/>
      <c r="KHR4" s="297"/>
      <c r="KHS4" s="297"/>
      <c r="KHT4" s="298"/>
      <c r="KHU4" s="299"/>
      <c r="KHV4" s="297"/>
      <c r="KHW4" s="297"/>
      <c r="KHX4" s="299"/>
      <c r="KHY4" s="299"/>
      <c r="KHZ4" s="297"/>
      <c r="KIA4" s="297"/>
      <c r="KIB4" s="299"/>
      <c r="KIC4" s="299"/>
      <c r="KID4" s="297"/>
      <c r="KIE4" s="297"/>
      <c r="KIF4" s="297"/>
      <c r="KIG4" s="16"/>
      <c r="KIH4" s="16"/>
      <c r="KII4" s="16"/>
      <c r="KIJ4" s="16"/>
      <c r="KIL4" s="297"/>
      <c r="KIM4" s="298"/>
      <c r="KIN4" s="298"/>
      <c r="KIO4" s="297"/>
      <c r="KIP4" s="297"/>
      <c r="KIQ4" s="297"/>
      <c r="KIR4" s="298"/>
      <c r="KIS4" s="299"/>
      <c r="KIT4" s="297"/>
      <c r="KIU4" s="297"/>
      <c r="KIV4" s="299"/>
      <c r="KIW4" s="299"/>
      <c r="KIX4" s="297"/>
      <c r="KIY4" s="297"/>
      <c r="KIZ4" s="299"/>
      <c r="KJA4" s="299"/>
      <c r="KJB4" s="297"/>
      <c r="KJC4" s="297"/>
      <c r="KJD4" s="297"/>
      <c r="KJE4" s="16"/>
      <c r="KJF4" s="16"/>
      <c r="KJG4" s="16"/>
      <c r="KJH4" s="16"/>
      <c r="KJJ4" s="297"/>
      <c r="KJK4" s="298"/>
      <c r="KJL4" s="298"/>
      <c r="KJM4" s="297"/>
      <c r="KJN4" s="297"/>
      <c r="KJO4" s="297"/>
      <c r="KJP4" s="298"/>
      <c r="KJQ4" s="299"/>
      <c r="KJR4" s="297"/>
      <c r="KJS4" s="297"/>
      <c r="KJT4" s="299"/>
      <c r="KJU4" s="299"/>
      <c r="KJV4" s="297"/>
      <c r="KJW4" s="297"/>
      <c r="KJX4" s="299"/>
      <c r="KJY4" s="299"/>
      <c r="KJZ4" s="297"/>
      <c r="KKA4" s="297"/>
      <c r="KKB4" s="297"/>
      <c r="KKC4" s="16"/>
      <c r="KKD4" s="16"/>
      <c r="KKE4" s="16"/>
      <c r="KKF4" s="16"/>
      <c r="KKH4" s="297"/>
      <c r="KKI4" s="298"/>
      <c r="KKJ4" s="298"/>
      <c r="KKK4" s="297"/>
      <c r="KKL4" s="297"/>
      <c r="KKM4" s="297"/>
      <c r="KKN4" s="298"/>
      <c r="KKO4" s="299"/>
      <c r="KKP4" s="297"/>
      <c r="KKQ4" s="297"/>
      <c r="KKR4" s="299"/>
      <c r="KKS4" s="299"/>
      <c r="KKT4" s="297"/>
      <c r="KKU4" s="297"/>
      <c r="KKV4" s="299"/>
      <c r="KKW4" s="299"/>
      <c r="KKX4" s="297"/>
      <c r="KKY4" s="297"/>
      <c r="KKZ4" s="297"/>
      <c r="KLA4" s="16"/>
      <c r="KLB4" s="16"/>
      <c r="KLC4" s="16"/>
      <c r="KLD4" s="16"/>
      <c r="KLF4" s="297"/>
      <c r="KLG4" s="298"/>
      <c r="KLH4" s="298"/>
      <c r="KLI4" s="297"/>
      <c r="KLJ4" s="297"/>
      <c r="KLK4" s="297"/>
      <c r="KLL4" s="298"/>
      <c r="KLM4" s="299"/>
      <c r="KLN4" s="297"/>
      <c r="KLO4" s="297"/>
      <c r="KLP4" s="299"/>
      <c r="KLQ4" s="299"/>
      <c r="KLR4" s="297"/>
      <c r="KLS4" s="297"/>
      <c r="KLT4" s="299"/>
      <c r="KLU4" s="299"/>
      <c r="KLV4" s="297"/>
      <c r="KLW4" s="297"/>
      <c r="KLX4" s="297"/>
      <c r="KLY4" s="16"/>
      <c r="KLZ4" s="16"/>
      <c r="KMA4" s="16"/>
      <c r="KMB4" s="16"/>
      <c r="KMD4" s="297"/>
      <c r="KME4" s="298"/>
      <c r="KMF4" s="298"/>
      <c r="KMG4" s="297"/>
      <c r="KMH4" s="297"/>
      <c r="KMI4" s="297"/>
      <c r="KMJ4" s="298"/>
      <c r="KMK4" s="299"/>
      <c r="KML4" s="297"/>
      <c r="KMM4" s="297"/>
      <c r="KMN4" s="299"/>
      <c r="KMO4" s="299"/>
      <c r="KMP4" s="297"/>
      <c r="KMQ4" s="297"/>
      <c r="KMR4" s="299"/>
      <c r="KMS4" s="299"/>
      <c r="KMT4" s="297"/>
      <c r="KMU4" s="297"/>
      <c r="KMV4" s="297"/>
      <c r="KMW4" s="16"/>
      <c r="KMX4" s="16"/>
      <c r="KMY4" s="16"/>
      <c r="KMZ4" s="16"/>
      <c r="KNB4" s="297"/>
      <c r="KNC4" s="298"/>
      <c r="KND4" s="298"/>
      <c r="KNE4" s="297"/>
      <c r="KNF4" s="297"/>
      <c r="KNG4" s="297"/>
      <c r="KNH4" s="298"/>
      <c r="KNI4" s="299"/>
      <c r="KNJ4" s="297"/>
      <c r="KNK4" s="297"/>
      <c r="KNL4" s="299"/>
      <c r="KNM4" s="299"/>
      <c r="KNN4" s="297"/>
      <c r="KNO4" s="297"/>
      <c r="KNP4" s="299"/>
      <c r="KNQ4" s="299"/>
      <c r="KNR4" s="297"/>
      <c r="KNS4" s="297"/>
      <c r="KNT4" s="297"/>
      <c r="KNU4" s="16"/>
      <c r="KNV4" s="16"/>
      <c r="KNW4" s="16"/>
      <c r="KNX4" s="16"/>
      <c r="KNZ4" s="297"/>
      <c r="KOA4" s="298"/>
      <c r="KOB4" s="298"/>
      <c r="KOC4" s="297"/>
      <c r="KOD4" s="297"/>
      <c r="KOE4" s="297"/>
      <c r="KOF4" s="298"/>
      <c r="KOG4" s="299"/>
      <c r="KOH4" s="297"/>
      <c r="KOI4" s="297"/>
      <c r="KOJ4" s="299"/>
      <c r="KOK4" s="299"/>
      <c r="KOL4" s="297"/>
      <c r="KOM4" s="297"/>
      <c r="KON4" s="299"/>
      <c r="KOO4" s="299"/>
      <c r="KOP4" s="297"/>
      <c r="KOQ4" s="297"/>
      <c r="KOR4" s="297"/>
      <c r="KOS4" s="16"/>
      <c r="KOT4" s="16"/>
      <c r="KOU4" s="16"/>
      <c r="KOV4" s="16"/>
      <c r="KOX4" s="297"/>
      <c r="KOY4" s="298"/>
      <c r="KOZ4" s="298"/>
      <c r="KPA4" s="297"/>
      <c r="KPB4" s="297"/>
      <c r="KPC4" s="297"/>
      <c r="KPD4" s="298"/>
      <c r="KPE4" s="299"/>
      <c r="KPF4" s="297"/>
      <c r="KPG4" s="297"/>
      <c r="KPH4" s="299"/>
      <c r="KPI4" s="299"/>
      <c r="KPJ4" s="297"/>
      <c r="KPK4" s="297"/>
      <c r="KPL4" s="299"/>
      <c r="KPM4" s="299"/>
      <c r="KPN4" s="297"/>
      <c r="KPO4" s="297"/>
      <c r="KPP4" s="297"/>
      <c r="KPQ4" s="16"/>
      <c r="KPR4" s="16"/>
      <c r="KPS4" s="16"/>
      <c r="KPT4" s="16"/>
      <c r="KPV4" s="297"/>
      <c r="KPW4" s="298"/>
      <c r="KPX4" s="298"/>
      <c r="KPY4" s="297"/>
      <c r="KPZ4" s="297"/>
      <c r="KQA4" s="297"/>
      <c r="KQB4" s="298"/>
      <c r="KQC4" s="299"/>
      <c r="KQD4" s="297"/>
      <c r="KQE4" s="297"/>
      <c r="KQF4" s="299"/>
      <c r="KQG4" s="299"/>
      <c r="KQH4" s="297"/>
      <c r="KQI4" s="297"/>
      <c r="KQJ4" s="299"/>
      <c r="KQK4" s="299"/>
      <c r="KQL4" s="297"/>
      <c r="KQM4" s="297"/>
      <c r="KQN4" s="297"/>
      <c r="KQO4" s="16"/>
      <c r="KQP4" s="16"/>
      <c r="KQQ4" s="16"/>
      <c r="KQR4" s="16"/>
      <c r="KQT4" s="297"/>
      <c r="KQU4" s="298"/>
      <c r="KQV4" s="298"/>
      <c r="KQW4" s="297"/>
      <c r="KQX4" s="297"/>
      <c r="KQY4" s="297"/>
      <c r="KQZ4" s="298"/>
      <c r="KRA4" s="299"/>
      <c r="KRB4" s="297"/>
      <c r="KRC4" s="297"/>
      <c r="KRD4" s="299"/>
      <c r="KRE4" s="299"/>
      <c r="KRF4" s="297"/>
      <c r="KRG4" s="297"/>
      <c r="KRH4" s="299"/>
      <c r="KRI4" s="299"/>
      <c r="KRJ4" s="297"/>
      <c r="KRK4" s="297"/>
      <c r="KRL4" s="297"/>
      <c r="KRM4" s="16"/>
      <c r="KRN4" s="16"/>
      <c r="KRO4" s="16"/>
      <c r="KRP4" s="16"/>
      <c r="KRR4" s="297"/>
      <c r="KRS4" s="298"/>
      <c r="KRT4" s="298"/>
      <c r="KRU4" s="297"/>
      <c r="KRV4" s="297"/>
      <c r="KRW4" s="297"/>
      <c r="KRX4" s="298"/>
      <c r="KRY4" s="299"/>
      <c r="KRZ4" s="297"/>
      <c r="KSA4" s="297"/>
      <c r="KSB4" s="299"/>
      <c r="KSC4" s="299"/>
      <c r="KSD4" s="297"/>
      <c r="KSE4" s="297"/>
      <c r="KSF4" s="299"/>
      <c r="KSG4" s="299"/>
      <c r="KSH4" s="297"/>
      <c r="KSI4" s="297"/>
      <c r="KSJ4" s="297"/>
      <c r="KSK4" s="16"/>
      <c r="KSL4" s="16"/>
      <c r="KSM4" s="16"/>
      <c r="KSN4" s="16"/>
      <c r="KSP4" s="297"/>
      <c r="KSQ4" s="298"/>
      <c r="KSR4" s="298"/>
      <c r="KSS4" s="297"/>
      <c r="KST4" s="297"/>
      <c r="KSU4" s="297"/>
      <c r="KSV4" s="298"/>
      <c r="KSW4" s="299"/>
      <c r="KSX4" s="297"/>
      <c r="KSY4" s="297"/>
      <c r="KSZ4" s="299"/>
      <c r="KTA4" s="299"/>
      <c r="KTB4" s="297"/>
      <c r="KTC4" s="297"/>
      <c r="KTD4" s="299"/>
      <c r="KTE4" s="299"/>
      <c r="KTF4" s="297"/>
      <c r="KTG4" s="297"/>
      <c r="KTH4" s="297"/>
      <c r="KTI4" s="16"/>
      <c r="KTJ4" s="16"/>
      <c r="KTK4" s="16"/>
      <c r="KTL4" s="16"/>
      <c r="KTN4" s="297"/>
      <c r="KTO4" s="298"/>
      <c r="KTP4" s="298"/>
      <c r="KTQ4" s="297"/>
      <c r="KTR4" s="297"/>
      <c r="KTS4" s="297"/>
      <c r="KTT4" s="298"/>
      <c r="KTU4" s="299"/>
      <c r="KTV4" s="297"/>
      <c r="KTW4" s="297"/>
      <c r="KTX4" s="299"/>
      <c r="KTY4" s="299"/>
      <c r="KTZ4" s="297"/>
      <c r="KUA4" s="297"/>
      <c r="KUB4" s="299"/>
      <c r="KUC4" s="299"/>
      <c r="KUD4" s="297"/>
      <c r="KUE4" s="297"/>
      <c r="KUF4" s="297"/>
      <c r="KUG4" s="16"/>
      <c r="KUH4" s="16"/>
      <c r="KUI4" s="16"/>
      <c r="KUJ4" s="16"/>
      <c r="KUL4" s="297"/>
      <c r="KUM4" s="298"/>
      <c r="KUN4" s="298"/>
      <c r="KUO4" s="297"/>
      <c r="KUP4" s="297"/>
      <c r="KUQ4" s="297"/>
      <c r="KUR4" s="298"/>
      <c r="KUS4" s="299"/>
      <c r="KUT4" s="297"/>
      <c r="KUU4" s="297"/>
      <c r="KUV4" s="299"/>
      <c r="KUW4" s="299"/>
      <c r="KUX4" s="297"/>
      <c r="KUY4" s="297"/>
      <c r="KUZ4" s="299"/>
      <c r="KVA4" s="299"/>
      <c r="KVB4" s="297"/>
      <c r="KVC4" s="297"/>
      <c r="KVD4" s="297"/>
      <c r="KVE4" s="16"/>
      <c r="KVF4" s="16"/>
      <c r="KVG4" s="16"/>
      <c r="KVH4" s="16"/>
      <c r="KVJ4" s="297"/>
      <c r="KVK4" s="298"/>
      <c r="KVL4" s="298"/>
      <c r="KVM4" s="297"/>
      <c r="KVN4" s="297"/>
      <c r="KVO4" s="297"/>
      <c r="KVP4" s="298"/>
      <c r="KVQ4" s="299"/>
      <c r="KVR4" s="297"/>
      <c r="KVS4" s="297"/>
      <c r="KVT4" s="299"/>
      <c r="KVU4" s="299"/>
      <c r="KVV4" s="297"/>
      <c r="KVW4" s="297"/>
      <c r="KVX4" s="299"/>
      <c r="KVY4" s="299"/>
      <c r="KVZ4" s="297"/>
      <c r="KWA4" s="297"/>
      <c r="KWB4" s="297"/>
      <c r="KWC4" s="16"/>
      <c r="KWD4" s="16"/>
      <c r="KWE4" s="16"/>
      <c r="KWF4" s="16"/>
      <c r="KWH4" s="297"/>
      <c r="KWI4" s="298"/>
      <c r="KWJ4" s="298"/>
      <c r="KWK4" s="297"/>
      <c r="KWL4" s="297"/>
      <c r="KWM4" s="297"/>
      <c r="KWN4" s="298"/>
      <c r="KWO4" s="299"/>
      <c r="KWP4" s="297"/>
      <c r="KWQ4" s="297"/>
      <c r="KWR4" s="299"/>
      <c r="KWS4" s="299"/>
      <c r="KWT4" s="297"/>
      <c r="KWU4" s="297"/>
      <c r="KWV4" s="299"/>
      <c r="KWW4" s="299"/>
      <c r="KWX4" s="297"/>
      <c r="KWY4" s="297"/>
      <c r="KWZ4" s="297"/>
      <c r="KXA4" s="16"/>
      <c r="KXB4" s="16"/>
      <c r="KXC4" s="16"/>
      <c r="KXD4" s="16"/>
      <c r="KXF4" s="297"/>
      <c r="KXG4" s="298"/>
      <c r="KXH4" s="298"/>
      <c r="KXI4" s="297"/>
      <c r="KXJ4" s="297"/>
      <c r="KXK4" s="297"/>
      <c r="KXL4" s="298"/>
      <c r="KXM4" s="299"/>
      <c r="KXN4" s="297"/>
      <c r="KXO4" s="297"/>
      <c r="KXP4" s="299"/>
      <c r="KXQ4" s="299"/>
      <c r="KXR4" s="297"/>
      <c r="KXS4" s="297"/>
      <c r="KXT4" s="299"/>
      <c r="KXU4" s="299"/>
      <c r="KXV4" s="297"/>
      <c r="KXW4" s="297"/>
      <c r="KXX4" s="297"/>
      <c r="KXY4" s="16"/>
      <c r="KXZ4" s="16"/>
      <c r="KYA4" s="16"/>
      <c r="KYB4" s="16"/>
      <c r="KYD4" s="297"/>
      <c r="KYE4" s="298"/>
      <c r="KYF4" s="298"/>
      <c r="KYG4" s="297"/>
      <c r="KYH4" s="297"/>
      <c r="KYI4" s="297"/>
      <c r="KYJ4" s="298"/>
      <c r="KYK4" s="299"/>
      <c r="KYL4" s="297"/>
      <c r="KYM4" s="297"/>
      <c r="KYN4" s="299"/>
      <c r="KYO4" s="299"/>
      <c r="KYP4" s="297"/>
      <c r="KYQ4" s="297"/>
      <c r="KYR4" s="299"/>
      <c r="KYS4" s="299"/>
      <c r="KYT4" s="297"/>
      <c r="KYU4" s="297"/>
      <c r="KYV4" s="297"/>
      <c r="KYW4" s="16"/>
      <c r="KYX4" s="16"/>
      <c r="KYY4" s="16"/>
      <c r="KYZ4" s="16"/>
      <c r="KZB4" s="297"/>
      <c r="KZC4" s="298"/>
      <c r="KZD4" s="298"/>
      <c r="KZE4" s="297"/>
      <c r="KZF4" s="297"/>
      <c r="KZG4" s="297"/>
      <c r="KZH4" s="298"/>
      <c r="KZI4" s="299"/>
      <c r="KZJ4" s="297"/>
      <c r="KZK4" s="297"/>
      <c r="KZL4" s="299"/>
      <c r="KZM4" s="299"/>
      <c r="KZN4" s="297"/>
      <c r="KZO4" s="297"/>
      <c r="KZP4" s="299"/>
      <c r="KZQ4" s="299"/>
      <c r="KZR4" s="297"/>
      <c r="KZS4" s="297"/>
      <c r="KZT4" s="297"/>
      <c r="KZU4" s="16"/>
      <c r="KZV4" s="16"/>
      <c r="KZW4" s="16"/>
      <c r="KZX4" s="16"/>
      <c r="KZZ4" s="297"/>
      <c r="LAA4" s="298"/>
      <c r="LAB4" s="298"/>
      <c r="LAC4" s="297"/>
      <c r="LAD4" s="297"/>
      <c r="LAE4" s="297"/>
      <c r="LAF4" s="298"/>
      <c r="LAG4" s="299"/>
      <c r="LAH4" s="297"/>
      <c r="LAI4" s="297"/>
      <c r="LAJ4" s="299"/>
      <c r="LAK4" s="299"/>
      <c r="LAL4" s="297"/>
      <c r="LAM4" s="297"/>
      <c r="LAN4" s="299"/>
      <c r="LAO4" s="299"/>
      <c r="LAP4" s="297"/>
      <c r="LAQ4" s="297"/>
      <c r="LAR4" s="297"/>
      <c r="LAS4" s="16"/>
      <c r="LAT4" s="16"/>
      <c r="LAU4" s="16"/>
      <c r="LAV4" s="16"/>
      <c r="LAX4" s="297"/>
      <c r="LAY4" s="298"/>
      <c r="LAZ4" s="298"/>
      <c r="LBA4" s="297"/>
      <c r="LBB4" s="297"/>
      <c r="LBC4" s="297"/>
      <c r="LBD4" s="298"/>
      <c r="LBE4" s="299"/>
      <c r="LBF4" s="297"/>
      <c r="LBG4" s="297"/>
      <c r="LBH4" s="299"/>
      <c r="LBI4" s="299"/>
      <c r="LBJ4" s="297"/>
      <c r="LBK4" s="297"/>
      <c r="LBL4" s="299"/>
      <c r="LBM4" s="299"/>
      <c r="LBN4" s="297"/>
      <c r="LBO4" s="297"/>
      <c r="LBP4" s="297"/>
      <c r="LBQ4" s="16"/>
      <c r="LBR4" s="16"/>
      <c r="LBS4" s="16"/>
      <c r="LBT4" s="16"/>
      <c r="LBV4" s="297"/>
      <c r="LBW4" s="298"/>
      <c r="LBX4" s="298"/>
      <c r="LBY4" s="297"/>
      <c r="LBZ4" s="297"/>
      <c r="LCA4" s="297"/>
      <c r="LCB4" s="298"/>
      <c r="LCC4" s="299"/>
      <c r="LCD4" s="297"/>
      <c r="LCE4" s="297"/>
      <c r="LCF4" s="299"/>
      <c r="LCG4" s="299"/>
      <c r="LCH4" s="297"/>
      <c r="LCI4" s="297"/>
      <c r="LCJ4" s="299"/>
      <c r="LCK4" s="299"/>
      <c r="LCL4" s="297"/>
      <c r="LCM4" s="297"/>
      <c r="LCN4" s="297"/>
      <c r="LCO4" s="16"/>
      <c r="LCP4" s="16"/>
      <c r="LCQ4" s="16"/>
      <c r="LCR4" s="16"/>
      <c r="LCT4" s="297"/>
      <c r="LCU4" s="298"/>
      <c r="LCV4" s="298"/>
      <c r="LCW4" s="297"/>
      <c r="LCX4" s="297"/>
      <c r="LCY4" s="297"/>
      <c r="LCZ4" s="298"/>
      <c r="LDA4" s="299"/>
      <c r="LDB4" s="297"/>
      <c r="LDC4" s="297"/>
      <c r="LDD4" s="299"/>
      <c r="LDE4" s="299"/>
      <c r="LDF4" s="297"/>
      <c r="LDG4" s="297"/>
      <c r="LDH4" s="299"/>
      <c r="LDI4" s="299"/>
      <c r="LDJ4" s="297"/>
      <c r="LDK4" s="297"/>
      <c r="LDL4" s="297"/>
      <c r="LDM4" s="16"/>
      <c r="LDN4" s="16"/>
      <c r="LDO4" s="16"/>
      <c r="LDP4" s="16"/>
      <c r="LDR4" s="297"/>
      <c r="LDS4" s="298"/>
      <c r="LDT4" s="298"/>
      <c r="LDU4" s="297"/>
      <c r="LDV4" s="297"/>
      <c r="LDW4" s="297"/>
      <c r="LDX4" s="298"/>
      <c r="LDY4" s="299"/>
      <c r="LDZ4" s="297"/>
      <c r="LEA4" s="297"/>
      <c r="LEB4" s="299"/>
      <c r="LEC4" s="299"/>
      <c r="LED4" s="297"/>
      <c r="LEE4" s="297"/>
      <c r="LEF4" s="299"/>
      <c r="LEG4" s="299"/>
      <c r="LEH4" s="297"/>
      <c r="LEI4" s="297"/>
      <c r="LEJ4" s="297"/>
      <c r="LEK4" s="16"/>
      <c r="LEL4" s="16"/>
      <c r="LEM4" s="16"/>
      <c r="LEN4" s="16"/>
      <c r="LEP4" s="297"/>
      <c r="LEQ4" s="298"/>
      <c r="LER4" s="298"/>
      <c r="LES4" s="297"/>
      <c r="LET4" s="297"/>
      <c r="LEU4" s="297"/>
      <c r="LEV4" s="298"/>
      <c r="LEW4" s="299"/>
      <c r="LEX4" s="297"/>
      <c r="LEY4" s="297"/>
      <c r="LEZ4" s="299"/>
      <c r="LFA4" s="299"/>
      <c r="LFB4" s="297"/>
      <c r="LFC4" s="297"/>
      <c r="LFD4" s="299"/>
      <c r="LFE4" s="299"/>
      <c r="LFF4" s="297"/>
      <c r="LFG4" s="297"/>
      <c r="LFH4" s="297"/>
      <c r="LFI4" s="16"/>
      <c r="LFJ4" s="16"/>
      <c r="LFK4" s="16"/>
      <c r="LFL4" s="16"/>
      <c r="LFN4" s="297"/>
      <c r="LFO4" s="298"/>
      <c r="LFP4" s="298"/>
      <c r="LFQ4" s="297"/>
      <c r="LFR4" s="297"/>
      <c r="LFS4" s="297"/>
      <c r="LFT4" s="298"/>
      <c r="LFU4" s="299"/>
      <c r="LFV4" s="297"/>
      <c r="LFW4" s="297"/>
      <c r="LFX4" s="299"/>
      <c r="LFY4" s="299"/>
      <c r="LFZ4" s="297"/>
      <c r="LGA4" s="297"/>
      <c r="LGB4" s="299"/>
      <c r="LGC4" s="299"/>
      <c r="LGD4" s="297"/>
      <c r="LGE4" s="297"/>
      <c r="LGF4" s="297"/>
      <c r="LGG4" s="16"/>
      <c r="LGH4" s="16"/>
      <c r="LGI4" s="16"/>
      <c r="LGJ4" s="16"/>
      <c r="LGL4" s="297"/>
      <c r="LGM4" s="298"/>
      <c r="LGN4" s="298"/>
      <c r="LGO4" s="297"/>
      <c r="LGP4" s="297"/>
      <c r="LGQ4" s="297"/>
      <c r="LGR4" s="298"/>
      <c r="LGS4" s="299"/>
      <c r="LGT4" s="297"/>
      <c r="LGU4" s="297"/>
      <c r="LGV4" s="299"/>
      <c r="LGW4" s="299"/>
      <c r="LGX4" s="297"/>
      <c r="LGY4" s="297"/>
      <c r="LGZ4" s="299"/>
      <c r="LHA4" s="299"/>
      <c r="LHB4" s="297"/>
      <c r="LHC4" s="297"/>
      <c r="LHD4" s="297"/>
      <c r="LHE4" s="16"/>
      <c r="LHF4" s="16"/>
      <c r="LHG4" s="16"/>
      <c r="LHH4" s="16"/>
      <c r="LHJ4" s="297"/>
      <c r="LHK4" s="298"/>
      <c r="LHL4" s="298"/>
      <c r="LHM4" s="297"/>
      <c r="LHN4" s="297"/>
      <c r="LHO4" s="297"/>
      <c r="LHP4" s="298"/>
      <c r="LHQ4" s="299"/>
      <c r="LHR4" s="297"/>
      <c r="LHS4" s="297"/>
      <c r="LHT4" s="299"/>
      <c r="LHU4" s="299"/>
      <c r="LHV4" s="297"/>
      <c r="LHW4" s="297"/>
      <c r="LHX4" s="299"/>
      <c r="LHY4" s="299"/>
      <c r="LHZ4" s="297"/>
      <c r="LIA4" s="297"/>
      <c r="LIB4" s="297"/>
      <c r="LIC4" s="16"/>
      <c r="LID4" s="16"/>
      <c r="LIE4" s="16"/>
      <c r="LIF4" s="16"/>
      <c r="LIH4" s="297"/>
      <c r="LII4" s="298"/>
      <c r="LIJ4" s="298"/>
      <c r="LIK4" s="297"/>
      <c r="LIL4" s="297"/>
      <c r="LIM4" s="297"/>
      <c r="LIN4" s="298"/>
      <c r="LIO4" s="299"/>
      <c r="LIP4" s="297"/>
      <c r="LIQ4" s="297"/>
      <c r="LIR4" s="299"/>
      <c r="LIS4" s="299"/>
      <c r="LIT4" s="297"/>
      <c r="LIU4" s="297"/>
      <c r="LIV4" s="299"/>
      <c r="LIW4" s="299"/>
      <c r="LIX4" s="297"/>
      <c r="LIY4" s="297"/>
      <c r="LIZ4" s="297"/>
      <c r="LJA4" s="16"/>
      <c r="LJB4" s="16"/>
      <c r="LJC4" s="16"/>
      <c r="LJD4" s="16"/>
      <c r="LJF4" s="297"/>
      <c r="LJG4" s="298"/>
      <c r="LJH4" s="298"/>
      <c r="LJI4" s="297"/>
      <c r="LJJ4" s="297"/>
      <c r="LJK4" s="297"/>
      <c r="LJL4" s="298"/>
      <c r="LJM4" s="299"/>
      <c r="LJN4" s="297"/>
      <c r="LJO4" s="297"/>
      <c r="LJP4" s="299"/>
      <c r="LJQ4" s="299"/>
      <c r="LJR4" s="297"/>
      <c r="LJS4" s="297"/>
      <c r="LJT4" s="299"/>
      <c r="LJU4" s="299"/>
      <c r="LJV4" s="297"/>
      <c r="LJW4" s="297"/>
      <c r="LJX4" s="297"/>
      <c r="LJY4" s="16"/>
      <c r="LJZ4" s="16"/>
      <c r="LKA4" s="16"/>
      <c r="LKB4" s="16"/>
      <c r="LKD4" s="297"/>
      <c r="LKE4" s="298"/>
      <c r="LKF4" s="298"/>
      <c r="LKG4" s="297"/>
      <c r="LKH4" s="297"/>
      <c r="LKI4" s="297"/>
      <c r="LKJ4" s="298"/>
      <c r="LKK4" s="299"/>
      <c r="LKL4" s="297"/>
      <c r="LKM4" s="297"/>
      <c r="LKN4" s="299"/>
      <c r="LKO4" s="299"/>
      <c r="LKP4" s="297"/>
      <c r="LKQ4" s="297"/>
      <c r="LKR4" s="299"/>
      <c r="LKS4" s="299"/>
      <c r="LKT4" s="297"/>
      <c r="LKU4" s="297"/>
      <c r="LKV4" s="297"/>
      <c r="LKW4" s="16"/>
      <c r="LKX4" s="16"/>
      <c r="LKY4" s="16"/>
      <c r="LKZ4" s="16"/>
      <c r="LLB4" s="297"/>
      <c r="LLC4" s="298"/>
      <c r="LLD4" s="298"/>
      <c r="LLE4" s="297"/>
      <c r="LLF4" s="297"/>
      <c r="LLG4" s="297"/>
      <c r="LLH4" s="298"/>
      <c r="LLI4" s="299"/>
      <c r="LLJ4" s="297"/>
      <c r="LLK4" s="297"/>
      <c r="LLL4" s="299"/>
      <c r="LLM4" s="299"/>
      <c r="LLN4" s="297"/>
      <c r="LLO4" s="297"/>
      <c r="LLP4" s="299"/>
      <c r="LLQ4" s="299"/>
      <c r="LLR4" s="297"/>
      <c r="LLS4" s="297"/>
      <c r="LLT4" s="297"/>
      <c r="LLU4" s="16"/>
      <c r="LLV4" s="16"/>
      <c r="LLW4" s="16"/>
      <c r="LLX4" s="16"/>
      <c r="LLZ4" s="297"/>
      <c r="LMA4" s="298"/>
      <c r="LMB4" s="298"/>
      <c r="LMC4" s="297"/>
      <c r="LMD4" s="297"/>
      <c r="LME4" s="297"/>
      <c r="LMF4" s="298"/>
      <c r="LMG4" s="299"/>
      <c r="LMH4" s="297"/>
      <c r="LMI4" s="297"/>
      <c r="LMJ4" s="299"/>
      <c r="LMK4" s="299"/>
      <c r="LML4" s="297"/>
      <c r="LMM4" s="297"/>
      <c r="LMN4" s="299"/>
      <c r="LMO4" s="299"/>
      <c r="LMP4" s="297"/>
      <c r="LMQ4" s="297"/>
      <c r="LMR4" s="297"/>
      <c r="LMS4" s="16"/>
      <c r="LMT4" s="16"/>
      <c r="LMU4" s="16"/>
      <c r="LMV4" s="16"/>
      <c r="LMX4" s="297"/>
      <c r="LMY4" s="298"/>
      <c r="LMZ4" s="298"/>
      <c r="LNA4" s="297"/>
      <c r="LNB4" s="297"/>
      <c r="LNC4" s="297"/>
      <c r="LND4" s="298"/>
      <c r="LNE4" s="299"/>
      <c r="LNF4" s="297"/>
      <c r="LNG4" s="297"/>
      <c r="LNH4" s="299"/>
      <c r="LNI4" s="299"/>
      <c r="LNJ4" s="297"/>
      <c r="LNK4" s="297"/>
      <c r="LNL4" s="299"/>
      <c r="LNM4" s="299"/>
      <c r="LNN4" s="297"/>
      <c r="LNO4" s="297"/>
      <c r="LNP4" s="297"/>
      <c r="LNQ4" s="16"/>
      <c r="LNR4" s="16"/>
      <c r="LNS4" s="16"/>
      <c r="LNT4" s="16"/>
      <c r="LNV4" s="297"/>
      <c r="LNW4" s="298"/>
      <c r="LNX4" s="298"/>
      <c r="LNY4" s="297"/>
      <c r="LNZ4" s="297"/>
      <c r="LOA4" s="297"/>
      <c r="LOB4" s="298"/>
      <c r="LOC4" s="299"/>
      <c r="LOD4" s="297"/>
      <c r="LOE4" s="297"/>
      <c r="LOF4" s="299"/>
      <c r="LOG4" s="299"/>
      <c r="LOH4" s="297"/>
      <c r="LOI4" s="297"/>
      <c r="LOJ4" s="299"/>
      <c r="LOK4" s="299"/>
      <c r="LOL4" s="297"/>
      <c r="LOM4" s="297"/>
      <c r="LON4" s="297"/>
      <c r="LOO4" s="16"/>
      <c r="LOP4" s="16"/>
      <c r="LOQ4" s="16"/>
      <c r="LOR4" s="16"/>
      <c r="LOT4" s="297"/>
      <c r="LOU4" s="298"/>
      <c r="LOV4" s="298"/>
      <c r="LOW4" s="297"/>
      <c r="LOX4" s="297"/>
      <c r="LOY4" s="297"/>
      <c r="LOZ4" s="298"/>
      <c r="LPA4" s="299"/>
      <c r="LPB4" s="297"/>
      <c r="LPC4" s="297"/>
      <c r="LPD4" s="299"/>
      <c r="LPE4" s="299"/>
      <c r="LPF4" s="297"/>
      <c r="LPG4" s="297"/>
      <c r="LPH4" s="299"/>
      <c r="LPI4" s="299"/>
      <c r="LPJ4" s="297"/>
      <c r="LPK4" s="297"/>
      <c r="LPL4" s="297"/>
      <c r="LPM4" s="16"/>
      <c r="LPN4" s="16"/>
      <c r="LPO4" s="16"/>
      <c r="LPP4" s="16"/>
      <c r="LPR4" s="297"/>
      <c r="LPS4" s="298"/>
      <c r="LPT4" s="298"/>
      <c r="LPU4" s="297"/>
      <c r="LPV4" s="297"/>
      <c r="LPW4" s="297"/>
      <c r="LPX4" s="298"/>
      <c r="LPY4" s="299"/>
      <c r="LPZ4" s="297"/>
      <c r="LQA4" s="297"/>
      <c r="LQB4" s="299"/>
      <c r="LQC4" s="299"/>
      <c r="LQD4" s="297"/>
      <c r="LQE4" s="297"/>
      <c r="LQF4" s="299"/>
      <c r="LQG4" s="299"/>
      <c r="LQH4" s="297"/>
      <c r="LQI4" s="297"/>
      <c r="LQJ4" s="297"/>
      <c r="LQK4" s="16"/>
      <c r="LQL4" s="16"/>
      <c r="LQM4" s="16"/>
      <c r="LQN4" s="16"/>
      <c r="LQP4" s="297"/>
      <c r="LQQ4" s="298"/>
      <c r="LQR4" s="298"/>
      <c r="LQS4" s="297"/>
      <c r="LQT4" s="297"/>
      <c r="LQU4" s="297"/>
      <c r="LQV4" s="298"/>
      <c r="LQW4" s="299"/>
      <c r="LQX4" s="297"/>
      <c r="LQY4" s="297"/>
      <c r="LQZ4" s="299"/>
      <c r="LRA4" s="299"/>
      <c r="LRB4" s="297"/>
      <c r="LRC4" s="297"/>
      <c r="LRD4" s="299"/>
      <c r="LRE4" s="299"/>
      <c r="LRF4" s="297"/>
      <c r="LRG4" s="297"/>
      <c r="LRH4" s="297"/>
      <c r="LRI4" s="16"/>
      <c r="LRJ4" s="16"/>
      <c r="LRK4" s="16"/>
      <c r="LRL4" s="16"/>
      <c r="LRN4" s="297"/>
      <c r="LRO4" s="298"/>
      <c r="LRP4" s="298"/>
      <c r="LRQ4" s="297"/>
      <c r="LRR4" s="297"/>
      <c r="LRS4" s="297"/>
      <c r="LRT4" s="298"/>
      <c r="LRU4" s="299"/>
      <c r="LRV4" s="297"/>
      <c r="LRW4" s="297"/>
      <c r="LRX4" s="299"/>
      <c r="LRY4" s="299"/>
      <c r="LRZ4" s="297"/>
      <c r="LSA4" s="297"/>
      <c r="LSB4" s="299"/>
      <c r="LSC4" s="299"/>
      <c r="LSD4" s="297"/>
      <c r="LSE4" s="297"/>
      <c r="LSF4" s="297"/>
      <c r="LSG4" s="16"/>
      <c r="LSH4" s="16"/>
      <c r="LSI4" s="16"/>
      <c r="LSJ4" s="16"/>
      <c r="LSL4" s="297"/>
      <c r="LSM4" s="298"/>
      <c r="LSN4" s="298"/>
      <c r="LSO4" s="297"/>
      <c r="LSP4" s="297"/>
      <c r="LSQ4" s="297"/>
      <c r="LSR4" s="298"/>
      <c r="LSS4" s="299"/>
      <c r="LST4" s="297"/>
      <c r="LSU4" s="297"/>
      <c r="LSV4" s="299"/>
      <c r="LSW4" s="299"/>
      <c r="LSX4" s="297"/>
      <c r="LSY4" s="297"/>
      <c r="LSZ4" s="299"/>
      <c r="LTA4" s="299"/>
      <c r="LTB4" s="297"/>
      <c r="LTC4" s="297"/>
      <c r="LTD4" s="297"/>
      <c r="LTE4" s="16"/>
      <c r="LTF4" s="16"/>
      <c r="LTG4" s="16"/>
      <c r="LTH4" s="16"/>
      <c r="LTJ4" s="297"/>
      <c r="LTK4" s="298"/>
      <c r="LTL4" s="298"/>
      <c r="LTM4" s="297"/>
      <c r="LTN4" s="297"/>
      <c r="LTO4" s="297"/>
      <c r="LTP4" s="298"/>
      <c r="LTQ4" s="299"/>
      <c r="LTR4" s="297"/>
      <c r="LTS4" s="297"/>
      <c r="LTT4" s="299"/>
      <c r="LTU4" s="299"/>
      <c r="LTV4" s="297"/>
      <c r="LTW4" s="297"/>
      <c r="LTX4" s="299"/>
      <c r="LTY4" s="299"/>
      <c r="LTZ4" s="297"/>
      <c r="LUA4" s="297"/>
      <c r="LUB4" s="297"/>
      <c r="LUC4" s="16"/>
      <c r="LUD4" s="16"/>
      <c r="LUE4" s="16"/>
      <c r="LUF4" s="16"/>
      <c r="LUH4" s="297"/>
      <c r="LUI4" s="298"/>
      <c r="LUJ4" s="298"/>
      <c r="LUK4" s="297"/>
      <c r="LUL4" s="297"/>
      <c r="LUM4" s="297"/>
      <c r="LUN4" s="298"/>
      <c r="LUO4" s="299"/>
      <c r="LUP4" s="297"/>
      <c r="LUQ4" s="297"/>
      <c r="LUR4" s="299"/>
      <c r="LUS4" s="299"/>
      <c r="LUT4" s="297"/>
      <c r="LUU4" s="297"/>
      <c r="LUV4" s="299"/>
      <c r="LUW4" s="299"/>
      <c r="LUX4" s="297"/>
      <c r="LUY4" s="297"/>
      <c r="LUZ4" s="297"/>
      <c r="LVA4" s="16"/>
      <c r="LVB4" s="16"/>
      <c r="LVC4" s="16"/>
      <c r="LVD4" s="16"/>
      <c r="LVF4" s="297"/>
      <c r="LVG4" s="298"/>
      <c r="LVH4" s="298"/>
      <c r="LVI4" s="297"/>
      <c r="LVJ4" s="297"/>
      <c r="LVK4" s="297"/>
      <c r="LVL4" s="298"/>
      <c r="LVM4" s="299"/>
      <c r="LVN4" s="297"/>
      <c r="LVO4" s="297"/>
      <c r="LVP4" s="299"/>
      <c r="LVQ4" s="299"/>
      <c r="LVR4" s="297"/>
      <c r="LVS4" s="297"/>
      <c r="LVT4" s="299"/>
      <c r="LVU4" s="299"/>
      <c r="LVV4" s="297"/>
      <c r="LVW4" s="297"/>
      <c r="LVX4" s="297"/>
      <c r="LVY4" s="16"/>
      <c r="LVZ4" s="16"/>
      <c r="LWA4" s="16"/>
      <c r="LWB4" s="16"/>
      <c r="LWD4" s="297"/>
      <c r="LWE4" s="298"/>
      <c r="LWF4" s="298"/>
      <c r="LWG4" s="297"/>
      <c r="LWH4" s="297"/>
      <c r="LWI4" s="297"/>
      <c r="LWJ4" s="298"/>
      <c r="LWK4" s="299"/>
      <c r="LWL4" s="297"/>
      <c r="LWM4" s="297"/>
      <c r="LWN4" s="299"/>
      <c r="LWO4" s="299"/>
      <c r="LWP4" s="297"/>
      <c r="LWQ4" s="297"/>
      <c r="LWR4" s="299"/>
      <c r="LWS4" s="299"/>
      <c r="LWT4" s="297"/>
      <c r="LWU4" s="297"/>
      <c r="LWV4" s="297"/>
      <c r="LWW4" s="16"/>
      <c r="LWX4" s="16"/>
      <c r="LWY4" s="16"/>
      <c r="LWZ4" s="16"/>
      <c r="LXB4" s="297"/>
      <c r="LXC4" s="298"/>
      <c r="LXD4" s="298"/>
      <c r="LXE4" s="297"/>
      <c r="LXF4" s="297"/>
      <c r="LXG4" s="297"/>
      <c r="LXH4" s="298"/>
      <c r="LXI4" s="299"/>
      <c r="LXJ4" s="297"/>
      <c r="LXK4" s="297"/>
      <c r="LXL4" s="299"/>
      <c r="LXM4" s="299"/>
      <c r="LXN4" s="297"/>
      <c r="LXO4" s="297"/>
      <c r="LXP4" s="299"/>
      <c r="LXQ4" s="299"/>
      <c r="LXR4" s="297"/>
      <c r="LXS4" s="297"/>
      <c r="LXT4" s="297"/>
      <c r="LXU4" s="16"/>
      <c r="LXV4" s="16"/>
      <c r="LXW4" s="16"/>
      <c r="LXX4" s="16"/>
      <c r="LXZ4" s="297"/>
      <c r="LYA4" s="298"/>
      <c r="LYB4" s="298"/>
      <c r="LYC4" s="297"/>
      <c r="LYD4" s="297"/>
      <c r="LYE4" s="297"/>
      <c r="LYF4" s="298"/>
      <c r="LYG4" s="299"/>
      <c r="LYH4" s="297"/>
      <c r="LYI4" s="297"/>
      <c r="LYJ4" s="299"/>
      <c r="LYK4" s="299"/>
      <c r="LYL4" s="297"/>
      <c r="LYM4" s="297"/>
      <c r="LYN4" s="299"/>
      <c r="LYO4" s="299"/>
      <c r="LYP4" s="297"/>
      <c r="LYQ4" s="297"/>
      <c r="LYR4" s="297"/>
      <c r="LYS4" s="16"/>
      <c r="LYT4" s="16"/>
      <c r="LYU4" s="16"/>
      <c r="LYV4" s="16"/>
      <c r="LYX4" s="297"/>
      <c r="LYY4" s="298"/>
      <c r="LYZ4" s="298"/>
      <c r="LZA4" s="297"/>
      <c r="LZB4" s="297"/>
      <c r="LZC4" s="297"/>
      <c r="LZD4" s="298"/>
      <c r="LZE4" s="299"/>
      <c r="LZF4" s="297"/>
      <c r="LZG4" s="297"/>
      <c r="LZH4" s="299"/>
      <c r="LZI4" s="299"/>
      <c r="LZJ4" s="297"/>
      <c r="LZK4" s="297"/>
      <c r="LZL4" s="299"/>
      <c r="LZM4" s="299"/>
      <c r="LZN4" s="297"/>
      <c r="LZO4" s="297"/>
      <c r="LZP4" s="297"/>
      <c r="LZQ4" s="16"/>
      <c r="LZR4" s="16"/>
      <c r="LZS4" s="16"/>
      <c r="LZT4" s="16"/>
      <c r="LZV4" s="297"/>
      <c r="LZW4" s="298"/>
      <c r="LZX4" s="298"/>
      <c r="LZY4" s="297"/>
      <c r="LZZ4" s="297"/>
      <c r="MAA4" s="297"/>
      <c r="MAB4" s="298"/>
      <c r="MAC4" s="299"/>
      <c r="MAD4" s="297"/>
      <c r="MAE4" s="297"/>
      <c r="MAF4" s="299"/>
      <c r="MAG4" s="299"/>
      <c r="MAH4" s="297"/>
      <c r="MAI4" s="297"/>
      <c r="MAJ4" s="299"/>
      <c r="MAK4" s="299"/>
      <c r="MAL4" s="297"/>
      <c r="MAM4" s="297"/>
      <c r="MAN4" s="297"/>
      <c r="MAO4" s="16"/>
      <c r="MAP4" s="16"/>
      <c r="MAQ4" s="16"/>
      <c r="MAR4" s="16"/>
      <c r="MAT4" s="297"/>
      <c r="MAU4" s="298"/>
      <c r="MAV4" s="298"/>
      <c r="MAW4" s="297"/>
      <c r="MAX4" s="297"/>
      <c r="MAY4" s="297"/>
      <c r="MAZ4" s="298"/>
      <c r="MBA4" s="299"/>
      <c r="MBB4" s="297"/>
      <c r="MBC4" s="297"/>
      <c r="MBD4" s="299"/>
      <c r="MBE4" s="299"/>
      <c r="MBF4" s="297"/>
      <c r="MBG4" s="297"/>
      <c r="MBH4" s="299"/>
      <c r="MBI4" s="299"/>
      <c r="MBJ4" s="297"/>
      <c r="MBK4" s="297"/>
      <c r="MBL4" s="297"/>
      <c r="MBM4" s="16"/>
      <c r="MBN4" s="16"/>
      <c r="MBO4" s="16"/>
      <c r="MBP4" s="16"/>
      <c r="MBR4" s="297"/>
      <c r="MBS4" s="298"/>
      <c r="MBT4" s="298"/>
      <c r="MBU4" s="297"/>
      <c r="MBV4" s="297"/>
      <c r="MBW4" s="297"/>
      <c r="MBX4" s="298"/>
      <c r="MBY4" s="299"/>
      <c r="MBZ4" s="297"/>
      <c r="MCA4" s="297"/>
      <c r="MCB4" s="299"/>
      <c r="MCC4" s="299"/>
      <c r="MCD4" s="297"/>
      <c r="MCE4" s="297"/>
      <c r="MCF4" s="299"/>
      <c r="MCG4" s="299"/>
      <c r="MCH4" s="297"/>
      <c r="MCI4" s="297"/>
      <c r="MCJ4" s="297"/>
      <c r="MCK4" s="16"/>
      <c r="MCL4" s="16"/>
      <c r="MCM4" s="16"/>
      <c r="MCN4" s="16"/>
      <c r="MCP4" s="297"/>
      <c r="MCQ4" s="298"/>
      <c r="MCR4" s="298"/>
      <c r="MCS4" s="297"/>
      <c r="MCT4" s="297"/>
      <c r="MCU4" s="297"/>
      <c r="MCV4" s="298"/>
      <c r="MCW4" s="299"/>
      <c r="MCX4" s="297"/>
      <c r="MCY4" s="297"/>
      <c r="MCZ4" s="299"/>
      <c r="MDA4" s="299"/>
      <c r="MDB4" s="297"/>
      <c r="MDC4" s="297"/>
      <c r="MDD4" s="299"/>
      <c r="MDE4" s="299"/>
      <c r="MDF4" s="297"/>
      <c r="MDG4" s="297"/>
      <c r="MDH4" s="297"/>
      <c r="MDI4" s="16"/>
      <c r="MDJ4" s="16"/>
      <c r="MDK4" s="16"/>
      <c r="MDL4" s="16"/>
      <c r="MDN4" s="297"/>
      <c r="MDO4" s="298"/>
      <c r="MDP4" s="298"/>
      <c r="MDQ4" s="297"/>
      <c r="MDR4" s="297"/>
      <c r="MDS4" s="297"/>
      <c r="MDT4" s="298"/>
      <c r="MDU4" s="299"/>
      <c r="MDV4" s="297"/>
      <c r="MDW4" s="297"/>
      <c r="MDX4" s="299"/>
      <c r="MDY4" s="299"/>
      <c r="MDZ4" s="297"/>
      <c r="MEA4" s="297"/>
      <c r="MEB4" s="299"/>
      <c r="MEC4" s="299"/>
      <c r="MED4" s="297"/>
      <c r="MEE4" s="297"/>
      <c r="MEF4" s="297"/>
      <c r="MEG4" s="16"/>
      <c r="MEH4" s="16"/>
      <c r="MEI4" s="16"/>
      <c r="MEJ4" s="16"/>
      <c r="MEL4" s="297"/>
      <c r="MEM4" s="298"/>
      <c r="MEN4" s="298"/>
      <c r="MEO4" s="297"/>
      <c r="MEP4" s="297"/>
      <c r="MEQ4" s="297"/>
      <c r="MER4" s="298"/>
      <c r="MES4" s="299"/>
      <c r="MET4" s="297"/>
      <c r="MEU4" s="297"/>
      <c r="MEV4" s="299"/>
      <c r="MEW4" s="299"/>
      <c r="MEX4" s="297"/>
      <c r="MEY4" s="297"/>
      <c r="MEZ4" s="299"/>
      <c r="MFA4" s="299"/>
      <c r="MFB4" s="297"/>
      <c r="MFC4" s="297"/>
      <c r="MFD4" s="297"/>
      <c r="MFE4" s="16"/>
      <c r="MFF4" s="16"/>
      <c r="MFG4" s="16"/>
      <c r="MFH4" s="16"/>
      <c r="MFJ4" s="297"/>
      <c r="MFK4" s="298"/>
      <c r="MFL4" s="298"/>
      <c r="MFM4" s="297"/>
      <c r="MFN4" s="297"/>
      <c r="MFO4" s="297"/>
      <c r="MFP4" s="298"/>
      <c r="MFQ4" s="299"/>
      <c r="MFR4" s="297"/>
      <c r="MFS4" s="297"/>
      <c r="MFT4" s="299"/>
      <c r="MFU4" s="299"/>
      <c r="MFV4" s="297"/>
      <c r="MFW4" s="297"/>
      <c r="MFX4" s="299"/>
      <c r="MFY4" s="299"/>
      <c r="MFZ4" s="297"/>
      <c r="MGA4" s="297"/>
      <c r="MGB4" s="297"/>
      <c r="MGC4" s="16"/>
      <c r="MGD4" s="16"/>
      <c r="MGE4" s="16"/>
      <c r="MGF4" s="16"/>
      <c r="MGH4" s="297"/>
      <c r="MGI4" s="298"/>
      <c r="MGJ4" s="298"/>
      <c r="MGK4" s="297"/>
      <c r="MGL4" s="297"/>
      <c r="MGM4" s="297"/>
      <c r="MGN4" s="298"/>
      <c r="MGO4" s="299"/>
      <c r="MGP4" s="297"/>
      <c r="MGQ4" s="297"/>
      <c r="MGR4" s="299"/>
      <c r="MGS4" s="299"/>
      <c r="MGT4" s="297"/>
      <c r="MGU4" s="297"/>
      <c r="MGV4" s="299"/>
      <c r="MGW4" s="299"/>
      <c r="MGX4" s="297"/>
      <c r="MGY4" s="297"/>
      <c r="MGZ4" s="297"/>
      <c r="MHA4" s="16"/>
      <c r="MHB4" s="16"/>
      <c r="MHC4" s="16"/>
      <c r="MHD4" s="16"/>
      <c r="MHF4" s="297"/>
      <c r="MHG4" s="298"/>
      <c r="MHH4" s="298"/>
      <c r="MHI4" s="297"/>
      <c r="MHJ4" s="297"/>
      <c r="MHK4" s="297"/>
      <c r="MHL4" s="298"/>
      <c r="MHM4" s="299"/>
      <c r="MHN4" s="297"/>
      <c r="MHO4" s="297"/>
      <c r="MHP4" s="299"/>
      <c r="MHQ4" s="299"/>
      <c r="MHR4" s="297"/>
      <c r="MHS4" s="297"/>
      <c r="MHT4" s="299"/>
      <c r="MHU4" s="299"/>
      <c r="MHV4" s="297"/>
      <c r="MHW4" s="297"/>
      <c r="MHX4" s="297"/>
      <c r="MHY4" s="16"/>
      <c r="MHZ4" s="16"/>
      <c r="MIA4" s="16"/>
      <c r="MIB4" s="16"/>
      <c r="MID4" s="297"/>
      <c r="MIE4" s="298"/>
      <c r="MIF4" s="298"/>
      <c r="MIG4" s="297"/>
      <c r="MIH4" s="297"/>
      <c r="MII4" s="297"/>
      <c r="MIJ4" s="298"/>
      <c r="MIK4" s="299"/>
      <c r="MIL4" s="297"/>
      <c r="MIM4" s="297"/>
      <c r="MIN4" s="299"/>
      <c r="MIO4" s="299"/>
      <c r="MIP4" s="297"/>
      <c r="MIQ4" s="297"/>
      <c r="MIR4" s="299"/>
      <c r="MIS4" s="299"/>
      <c r="MIT4" s="297"/>
      <c r="MIU4" s="297"/>
      <c r="MIV4" s="297"/>
      <c r="MIW4" s="16"/>
      <c r="MIX4" s="16"/>
      <c r="MIY4" s="16"/>
      <c r="MIZ4" s="16"/>
      <c r="MJB4" s="297"/>
      <c r="MJC4" s="298"/>
      <c r="MJD4" s="298"/>
      <c r="MJE4" s="297"/>
      <c r="MJF4" s="297"/>
      <c r="MJG4" s="297"/>
      <c r="MJH4" s="298"/>
      <c r="MJI4" s="299"/>
      <c r="MJJ4" s="297"/>
      <c r="MJK4" s="297"/>
      <c r="MJL4" s="299"/>
      <c r="MJM4" s="299"/>
      <c r="MJN4" s="297"/>
      <c r="MJO4" s="297"/>
      <c r="MJP4" s="299"/>
      <c r="MJQ4" s="299"/>
      <c r="MJR4" s="297"/>
      <c r="MJS4" s="297"/>
      <c r="MJT4" s="297"/>
      <c r="MJU4" s="16"/>
      <c r="MJV4" s="16"/>
      <c r="MJW4" s="16"/>
      <c r="MJX4" s="16"/>
      <c r="MJZ4" s="297"/>
      <c r="MKA4" s="298"/>
      <c r="MKB4" s="298"/>
      <c r="MKC4" s="297"/>
      <c r="MKD4" s="297"/>
      <c r="MKE4" s="297"/>
      <c r="MKF4" s="298"/>
      <c r="MKG4" s="299"/>
      <c r="MKH4" s="297"/>
      <c r="MKI4" s="297"/>
      <c r="MKJ4" s="299"/>
      <c r="MKK4" s="299"/>
      <c r="MKL4" s="297"/>
      <c r="MKM4" s="297"/>
      <c r="MKN4" s="299"/>
      <c r="MKO4" s="299"/>
      <c r="MKP4" s="297"/>
      <c r="MKQ4" s="297"/>
      <c r="MKR4" s="297"/>
      <c r="MKS4" s="16"/>
      <c r="MKT4" s="16"/>
      <c r="MKU4" s="16"/>
      <c r="MKV4" s="16"/>
      <c r="MKX4" s="297"/>
      <c r="MKY4" s="298"/>
      <c r="MKZ4" s="298"/>
      <c r="MLA4" s="297"/>
      <c r="MLB4" s="297"/>
      <c r="MLC4" s="297"/>
      <c r="MLD4" s="298"/>
      <c r="MLE4" s="299"/>
      <c r="MLF4" s="297"/>
      <c r="MLG4" s="297"/>
      <c r="MLH4" s="299"/>
      <c r="MLI4" s="299"/>
      <c r="MLJ4" s="297"/>
      <c r="MLK4" s="297"/>
      <c r="MLL4" s="299"/>
      <c r="MLM4" s="299"/>
      <c r="MLN4" s="297"/>
      <c r="MLO4" s="297"/>
      <c r="MLP4" s="297"/>
      <c r="MLQ4" s="16"/>
      <c r="MLR4" s="16"/>
      <c r="MLS4" s="16"/>
      <c r="MLT4" s="16"/>
      <c r="MLV4" s="297"/>
      <c r="MLW4" s="298"/>
      <c r="MLX4" s="298"/>
      <c r="MLY4" s="297"/>
      <c r="MLZ4" s="297"/>
      <c r="MMA4" s="297"/>
      <c r="MMB4" s="298"/>
      <c r="MMC4" s="299"/>
      <c r="MMD4" s="297"/>
      <c r="MME4" s="297"/>
      <c r="MMF4" s="299"/>
      <c r="MMG4" s="299"/>
      <c r="MMH4" s="297"/>
      <c r="MMI4" s="297"/>
      <c r="MMJ4" s="299"/>
      <c r="MMK4" s="299"/>
      <c r="MML4" s="297"/>
      <c r="MMM4" s="297"/>
      <c r="MMN4" s="297"/>
      <c r="MMO4" s="16"/>
      <c r="MMP4" s="16"/>
      <c r="MMQ4" s="16"/>
      <c r="MMR4" s="16"/>
      <c r="MMT4" s="297"/>
      <c r="MMU4" s="298"/>
      <c r="MMV4" s="298"/>
      <c r="MMW4" s="297"/>
      <c r="MMX4" s="297"/>
      <c r="MMY4" s="297"/>
      <c r="MMZ4" s="298"/>
      <c r="MNA4" s="299"/>
      <c r="MNB4" s="297"/>
      <c r="MNC4" s="297"/>
      <c r="MND4" s="299"/>
      <c r="MNE4" s="299"/>
      <c r="MNF4" s="297"/>
      <c r="MNG4" s="297"/>
      <c r="MNH4" s="299"/>
      <c r="MNI4" s="299"/>
      <c r="MNJ4" s="297"/>
      <c r="MNK4" s="297"/>
      <c r="MNL4" s="297"/>
      <c r="MNM4" s="16"/>
      <c r="MNN4" s="16"/>
      <c r="MNO4" s="16"/>
      <c r="MNP4" s="16"/>
      <c r="MNR4" s="297"/>
      <c r="MNS4" s="298"/>
      <c r="MNT4" s="298"/>
      <c r="MNU4" s="297"/>
      <c r="MNV4" s="297"/>
      <c r="MNW4" s="297"/>
      <c r="MNX4" s="298"/>
      <c r="MNY4" s="299"/>
      <c r="MNZ4" s="297"/>
      <c r="MOA4" s="297"/>
      <c r="MOB4" s="299"/>
      <c r="MOC4" s="299"/>
      <c r="MOD4" s="297"/>
      <c r="MOE4" s="297"/>
      <c r="MOF4" s="299"/>
      <c r="MOG4" s="299"/>
      <c r="MOH4" s="297"/>
      <c r="MOI4" s="297"/>
      <c r="MOJ4" s="297"/>
      <c r="MOK4" s="16"/>
      <c r="MOL4" s="16"/>
      <c r="MOM4" s="16"/>
      <c r="MON4" s="16"/>
      <c r="MOP4" s="297"/>
      <c r="MOQ4" s="298"/>
      <c r="MOR4" s="298"/>
      <c r="MOS4" s="297"/>
      <c r="MOT4" s="297"/>
      <c r="MOU4" s="297"/>
      <c r="MOV4" s="298"/>
      <c r="MOW4" s="299"/>
      <c r="MOX4" s="297"/>
      <c r="MOY4" s="297"/>
      <c r="MOZ4" s="299"/>
      <c r="MPA4" s="299"/>
      <c r="MPB4" s="297"/>
      <c r="MPC4" s="297"/>
      <c r="MPD4" s="299"/>
      <c r="MPE4" s="299"/>
      <c r="MPF4" s="297"/>
      <c r="MPG4" s="297"/>
      <c r="MPH4" s="297"/>
      <c r="MPI4" s="16"/>
      <c r="MPJ4" s="16"/>
      <c r="MPK4" s="16"/>
      <c r="MPL4" s="16"/>
      <c r="MPN4" s="297"/>
      <c r="MPO4" s="298"/>
      <c r="MPP4" s="298"/>
      <c r="MPQ4" s="297"/>
      <c r="MPR4" s="297"/>
      <c r="MPS4" s="297"/>
      <c r="MPT4" s="298"/>
      <c r="MPU4" s="299"/>
      <c r="MPV4" s="297"/>
      <c r="MPW4" s="297"/>
      <c r="MPX4" s="299"/>
      <c r="MPY4" s="299"/>
      <c r="MPZ4" s="297"/>
      <c r="MQA4" s="297"/>
      <c r="MQB4" s="299"/>
      <c r="MQC4" s="299"/>
      <c r="MQD4" s="297"/>
      <c r="MQE4" s="297"/>
      <c r="MQF4" s="297"/>
      <c r="MQG4" s="16"/>
      <c r="MQH4" s="16"/>
      <c r="MQI4" s="16"/>
      <c r="MQJ4" s="16"/>
      <c r="MQL4" s="297"/>
      <c r="MQM4" s="298"/>
      <c r="MQN4" s="298"/>
      <c r="MQO4" s="297"/>
      <c r="MQP4" s="297"/>
      <c r="MQQ4" s="297"/>
      <c r="MQR4" s="298"/>
      <c r="MQS4" s="299"/>
      <c r="MQT4" s="297"/>
      <c r="MQU4" s="297"/>
      <c r="MQV4" s="299"/>
      <c r="MQW4" s="299"/>
      <c r="MQX4" s="297"/>
      <c r="MQY4" s="297"/>
      <c r="MQZ4" s="299"/>
      <c r="MRA4" s="299"/>
      <c r="MRB4" s="297"/>
      <c r="MRC4" s="297"/>
      <c r="MRD4" s="297"/>
      <c r="MRE4" s="16"/>
      <c r="MRF4" s="16"/>
      <c r="MRG4" s="16"/>
      <c r="MRH4" s="16"/>
      <c r="MRJ4" s="297"/>
      <c r="MRK4" s="298"/>
      <c r="MRL4" s="298"/>
      <c r="MRM4" s="297"/>
      <c r="MRN4" s="297"/>
      <c r="MRO4" s="297"/>
      <c r="MRP4" s="298"/>
      <c r="MRQ4" s="299"/>
      <c r="MRR4" s="297"/>
      <c r="MRS4" s="297"/>
      <c r="MRT4" s="299"/>
      <c r="MRU4" s="299"/>
      <c r="MRV4" s="297"/>
      <c r="MRW4" s="297"/>
      <c r="MRX4" s="299"/>
      <c r="MRY4" s="299"/>
      <c r="MRZ4" s="297"/>
      <c r="MSA4" s="297"/>
      <c r="MSB4" s="297"/>
      <c r="MSC4" s="16"/>
      <c r="MSD4" s="16"/>
      <c r="MSE4" s="16"/>
      <c r="MSF4" s="16"/>
      <c r="MSH4" s="297"/>
      <c r="MSI4" s="298"/>
      <c r="MSJ4" s="298"/>
      <c r="MSK4" s="297"/>
      <c r="MSL4" s="297"/>
      <c r="MSM4" s="297"/>
      <c r="MSN4" s="298"/>
      <c r="MSO4" s="299"/>
      <c r="MSP4" s="297"/>
      <c r="MSQ4" s="297"/>
      <c r="MSR4" s="299"/>
      <c r="MSS4" s="299"/>
      <c r="MST4" s="297"/>
      <c r="MSU4" s="297"/>
      <c r="MSV4" s="299"/>
      <c r="MSW4" s="299"/>
      <c r="MSX4" s="297"/>
      <c r="MSY4" s="297"/>
      <c r="MSZ4" s="297"/>
      <c r="MTA4" s="16"/>
      <c r="MTB4" s="16"/>
      <c r="MTC4" s="16"/>
      <c r="MTD4" s="16"/>
      <c r="MTF4" s="297"/>
      <c r="MTG4" s="298"/>
      <c r="MTH4" s="298"/>
      <c r="MTI4" s="297"/>
      <c r="MTJ4" s="297"/>
      <c r="MTK4" s="297"/>
      <c r="MTL4" s="298"/>
      <c r="MTM4" s="299"/>
      <c r="MTN4" s="297"/>
      <c r="MTO4" s="297"/>
      <c r="MTP4" s="299"/>
      <c r="MTQ4" s="299"/>
      <c r="MTR4" s="297"/>
      <c r="MTS4" s="297"/>
      <c r="MTT4" s="299"/>
      <c r="MTU4" s="299"/>
      <c r="MTV4" s="297"/>
      <c r="MTW4" s="297"/>
      <c r="MTX4" s="297"/>
      <c r="MTY4" s="16"/>
      <c r="MTZ4" s="16"/>
      <c r="MUA4" s="16"/>
      <c r="MUB4" s="16"/>
      <c r="MUD4" s="297"/>
      <c r="MUE4" s="298"/>
      <c r="MUF4" s="298"/>
      <c r="MUG4" s="297"/>
      <c r="MUH4" s="297"/>
      <c r="MUI4" s="297"/>
      <c r="MUJ4" s="298"/>
      <c r="MUK4" s="299"/>
      <c r="MUL4" s="297"/>
      <c r="MUM4" s="297"/>
      <c r="MUN4" s="299"/>
      <c r="MUO4" s="299"/>
      <c r="MUP4" s="297"/>
      <c r="MUQ4" s="297"/>
      <c r="MUR4" s="299"/>
      <c r="MUS4" s="299"/>
      <c r="MUT4" s="297"/>
      <c r="MUU4" s="297"/>
      <c r="MUV4" s="297"/>
      <c r="MUW4" s="16"/>
      <c r="MUX4" s="16"/>
      <c r="MUY4" s="16"/>
      <c r="MUZ4" s="16"/>
      <c r="MVB4" s="297"/>
      <c r="MVC4" s="298"/>
      <c r="MVD4" s="298"/>
      <c r="MVE4" s="297"/>
      <c r="MVF4" s="297"/>
      <c r="MVG4" s="297"/>
      <c r="MVH4" s="298"/>
      <c r="MVI4" s="299"/>
      <c r="MVJ4" s="297"/>
      <c r="MVK4" s="297"/>
      <c r="MVL4" s="299"/>
      <c r="MVM4" s="299"/>
      <c r="MVN4" s="297"/>
      <c r="MVO4" s="297"/>
      <c r="MVP4" s="299"/>
      <c r="MVQ4" s="299"/>
      <c r="MVR4" s="297"/>
      <c r="MVS4" s="297"/>
      <c r="MVT4" s="297"/>
      <c r="MVU4" s="16"/>
      <c r="MVV4" s="16"/>
      <c r="MVW4" s="16"/>
      <c r="MVX4" s="16"/>
      <c r="MVZ4" s="297"/>
      <c r="MWA4" s="298"/>
      <c r="MWB4" s="298"/>
      <c r="MWC4" s="297"/>
      <c r="MWD4" s="297"/>
      <c r="MWE4" s="297"/>
      <c r="MWF4" s="298"/>
      <c r="MWG4" s="299"/>
      <c r="MWH4" s="297"/>
      <c r="MWI4" s="297"/>
      <c r="MWJ4" s="299"/>
      <c r="MWK4" s="299"/>
      <c r="MWL4" s="297"/>
      <c r="MWM4" s="297"/>
      <c r="MWN4" s="299"/>
      <c r="MWO4" s="299"/>
      <c r="MWP4" s="297"/>
      <c r="MWQ4" s="297"/>
      <c r="MWR4" s="297"/>
      <c r="MWS4" s="16"/>
      <c r="MWT4" s="16"/>
      <c r="MWU4" s="16"/>
      <c r="MWV4" s="16"/>
      <c r="MWX4" s="297"/>
      <c r="MWY4" s="298"/>
      <c r="MWZ4" s="298"/>
      <c r="MXA4" s="297"/>
      <c r="MXB4" s="297"/>
      <c r="MXC4" s="297"/>
      <c r="MXD4" s="298"/>
      <c r="MXE4" s="299"/>
      <c r="MXF4" s="297"/>
      <c r="MXG4" s="297"/>
      <c r="MXH4" s="299"/>
      <c r="MXI4" s="299"/>
      <c r="MXJ4" s="297"/>
      <c r="MXK4" s="297"/>
      <c r="MXL4" s="299"/>
      <c r="MXM4" s="299"/>
      <c r="MXN4" s="297"/>
      <c r="MXO4" s="297"/>
      <c r="MXP4" s="297"/>
      <c r="MXQ4" s="16"/>
      <c r="MXR4" s="16"/>
      <c r="MXS4" s="16"/>
      <c r="MXT4" s="16"/>
      <c r="MXV4" s="297"/>
      <c r="MXW4" s="298"/>
      <c r="MXX4" s="298"/>
      <c r="MXY4" s="297"/>
      <c r="MXZ4" s="297"/>
      <c r="MYA4" s="297"/>
      <c r="MYB4" s="298"/>
      <c r="MYC4" s="299"/>
      <c r="MYD4" s="297"/>
      <c r="MYE4" s="297"/>
      <c r="MYF4" s="299"/>
      <c r="MYG4" s="299"/>
      <c r="MYH4" s="297"/>
      <c r="MYI4" s="297"/>
      <c r="MYJ4" s="299"/>
      <c r="MYK4" s="299"/>
      <c r="MYL4" s="297"/>
      <c r="MYM4" s="297"/>
      <c r="MYN4" s="297"/>
      <c r="MYO4" s="16"/>
      <c r="MYP4" s="16"/>
      <c r="MYQ4" s="16"/>
      <c r="MYR4" s="16"/>
      <c r="MYT4" s="297"/>
      <c r="MYU4" s="298"/>
      <c r="MYV4" s="298"/>
      <c r="MYW4" s="297"/>
      <c r="MYX4" s="297"/>
      <c r="MYY4" s="297"/>
      <c r="MYZ4" s="298"/>
      <c r="MZA4" s="299"/>
      <c r="MZB4" s="297"/>
      <c r="MZC4" s="297"/>
      <c r="MZD4" s="299"/>
      <c r="MZE4" s="299"/>
      <c r="MZF4" s="297"/>
      <c r="MZG4" s="297"/>
      <c r="MZH4" s="299"/>
      <c r="MZI4" s="299"/>
      <c r="MZJ4" s="297"/>
      <c r="MZK4" s="297"/>
      <c r="MZL4" s="297"/>
      <c r="MZM4" s="16"/>
      <c r="MZN4" s="16"/>
      <c r="MZO4" s="16"/>
      <c r="MZP4" s="16"/>
      <c r="MZR4" s="297"/>
      <c r="MZS4" s="298"/>
      <c r="MZT4" s="298"/>
      <c r="MZU4" s="297"/>
      <c r="MZV4" s="297"/>
      <c r="MZW4" s="297"/>
      <c r="MZX4" s="298"/>
      <c r="MZY4" s="299"/>
      <c r="MZZ4" s="297"/>
      <c r="NAA4" s="297"/>
      <c r="NAB4" s="299"/>
      <c r="NAC4" s="299"/>
      <c r="NAD4" s="297"/>
      <c r="NAE4" s="297"/>
      <c r="NAF4" s="299"/>
      <c r="NAG4" s="299"/>
      <c r="NAH4" s="297"/>
      <c r="NAI4" s="297"/>
      <c r="NAJ4" s="297"/>
      <c r="NAK4" s="16"/>
      <c r="NAL4" s="16"/>
      <c r="NAM4" s="16"/>
      <c r="NAN4" s="16"/>
      <c r="NAP4" s="297"/>
      <c r="NAQ4" s="298"/>
      <c r="NAR4" s="298"/>
      <c r="NAS4" s="297"/>
      <c r="NAT4" s="297"/>
      <c r="NAU4" s="297"/>
      <c r="NAV4" s="298"/>
      <c r="NAW4" s="299"/>
      <c r="NAX4" s="297"/>
      <c r="NAY4" s="297"/>
      <c r="NAZ4" s="299"/>
      <c r="NBA4" s="299"/>
      <c r="NBB4" s="297"/>
      <c r="NBC4" s="297"/>
      <c r="NBD4" s="299"/>
      <c r="NBE4" s="299"/>
      <c r="NBF4" s="297"/>
      <c r="NBG4" s="297"/>
      <c r="NBH4" s="297"/>
      <c r="NBI4" s="16"/>
      <c r="NBJ4" s="16"/>
      <c r="NBK4" s="16"/>
      <c r="NBL4" s="16"/>
      <c r="NBN4" s="297"/>
      <c r="NBO4" s="298"/>
      <c r="NBP4" s="298"/>
      <c r="NBQ4" s="297"/>
      <c r="NBR4" s="297"/>
      <c r="NBS4" s="297"/>
      <c r="NBT4" s="298"/>
      <c r="NBU4" s="299"/>
      <c r="NBV4" s="297"/>
      <c r="NBW4" s="297"/>
      <c r="NBX4" s="299"/>
      <c r="NBY4" s="299"/>
      <c r="NBZ4" s="297"/>
      <c r="NCA4" s="297"/>
      <c r="NCB4" s="299"/>
      <c r="NCC4" s="299"/>
      <c r="NCD4" s="297"/>
      <c r="NCE4" s="297"/>
      <c r="NCF4" s="297"/>
      <c r="NCG4" s="16"/>
      <c r="NCH4" s="16"/>
      <c r="NCI4" s="16"/>
      <c r="NCJ4" s="16"/>
      <c r="NCL4" s="297"/>
      <c r="NCM4" s="298"/>
      <c r="NCN4" s="298"/>
      <c r="NCO4" s="297"/>
      <c r="NCP4" s="297"/>
      <c r="NCQ4" s="297"/>
      <c r="NCR4" s="298"/>
      <c r="NCS4" s="299"/>
      <c r="NCT4" s="297"/>
      <c r="NCU4" s="297"/>
      <c r="NCV4" s="299"/>
      <c r="NCW4" s="299"/>
      <c r="NCX4" s="297"/>
      <c r="NCY4" s="297"/>
      <c r="NCZ4" s="299"/>
      <c r="NDA4" s="299"/>
      <c r="NDB4" s="297"/>
      <c r="NDC4" s="297"/>
      <c r="NDD4" s="297"/>
      <c r="NDE4" s="16"/>
      <c r="NDF4" s="16"/>
      <c r="NDG4" s="16"/>
      <c r="NDH4" s="16"/>
      <c r="NDJ4" s="297"/>
      <c r="NDK4" s="298"/>
      <c r="NDL4" s="298"/>
      <c r="NDM4" s="297"/>
      <c r="NDN4" s="297"/>
      <c r="NDO4" s="297"/>
      <c r="NDP4" s="298"/>
      <c r="NDQ4" s="299"/>
      <c r="NDR4" s="297"/>
      <c r="NDS4" s="297"/>
      <c r="NDT4" s="299"/>
      <c r="NDU4" s="299"/>
      <c r="NDV4" s="297"/>
      <c r="NDW4" s="297"/>
      <c r="NDX4" s="299"/>
      <c r="NDY4" s="299"/>
      <c r="NDZ4" s="297"/>
      <c r="NEA4" s="297"/>
      <c r="NEB4" s="297"/>
      <c r="NEC4" s="16"/>
      <c r="NED4" s="16"/>
      <c r="NEE4" s="16"/>
      <c r="NEF4" s="16"/>
      <c r="NEH4" s="297"/>
      <c r="NEI4" s="298"/>
      <c r="NEJ4" s="298"/>
      <c r="NEK4" s="297"/>
      <c r="NEL4" s="297"/>
      <c r="NEM4" s="297"/>
      <c r="NEN4" s="298"/>
      <c r="NEO4" s="299"/>
      <c r="NEP4" s="297"/>
      <c r="NEQ4" s="297"/>
      <c r="NER4" s="299"/>
      <c r="NES4" s="299"/>
      <c r="NET4" s="297"/>
      <c r="NEU4" s="297"/>
      <c r="NEV4" s="299"/>
      <c r="NEW4" s="299"/>
      <c r="NEX4" s="297"/>
      <c r="NEY4" s="297"/>
      <c r="NEZ4" s="297"/>
      <c r="NFA4" s="16"/>
      <c r="NFB4" s="16"/>
      <c r="NFC4" s="16"/>
      <c r="NFD4" s="16"/>
      <c r="NFF4" s="297"/>
      <c r="NFG4" s="298"/>
      <c r="NFH4" s="298"/>
      <c r="NFI4" s="297"/>
      <c r="NFJ4" s="297"/>
      <c r="NFK4" s="297"/>
      <c r="NFL4" s="298"/>
      <c r="NFM4" s="299"/>
      <c r="NFN4" s="297"/>
      <c r="NFO4" s="297"/>
      <c r="NFP4" s="299"/>
      <c r="NFQ4" s="299"/>
      <c r="NFR4" s="297"/>
      <c r="NFS4" s="297"/>
      <c r="NFT4" s="299"/>
      <c r="NFU4" s="299"/>
      <c r="NFV4" s="297"/>
      <c r="NFW4" s="297"/>
      <c r="NFX4" s="297"/>
      <c r="NFY4" s="16"/>
      <c r="NFZ4" s="16"/>
      <c r="NGA4" s="16"/>
      <c r="NGB4" s="16"/>
      <c r="NGD4" s="297"/>
      <c r="NGE4" s="298"/>
      <c r="NGF4" s="298"/>
      <c r="NGG4" s="297"/>
      <c r="NGH4" s="297"/>
      <c r="NGI4" s="297"/>
      <c r="NGJ4" s="298"/>
      <c r="NGK4" s="299"/>
      <c r="NGL4" s="297"/>
      <c r="NGM4" s="297"/>
      <c r="NGN4" s="299"/>
      <c r="NGO4" s="299"/>
      <c r="NGP4" s="297"/>
      <c r="NGQ4" s="297"/>
      <c r="NGR4" s="299"/>
      <c r="NGS4" s="299"/>
      <c r="NGT4" s="297"/>
      <c r="NGU4" s="297"/>
      <c r="NGV4" s="297"/>
      <c r="NGW4" s="16"/>
      <c r="NGX4" s="16"/>
      <c r="NGY4" s="16"/>
      <c r="NGZ4" s="16"/>
      <c r="NHB4" s="297"/>
      <c r="NHC4" s="298"/>
      <c r="NHD4" s="298"/>
      <c r="NHE4" s="297"/>
      <c r="NHF4" s="297"/>
      <c r="NHG4" s="297"/>
      <c r="NHH4" s="298"/>
      <c r="NHI4" s="299"/>
      <c r="NHJ4" s="297"/>
      <c r="NHK4" s="297"/>
      <c r="NHL4" s="299"/>
      <c r="NHM4" s="299"/>
      <c r="NHN4" s="297"/>
      <c r="NHO4" s="297"/>
      <c r="NHP4" s="299"/>
      <c r="NHQ4" s="299"/>
      <c r="NHR4" s="297"/>
      <c r="NHS4" s="297"/>
      <c r="NHT4" s="297"/>
      <c r="NHU4" s="16"/>
      <c r="NHV4" s="16"/>
      <c r="NHW4" s="16"/>
      <c r="NHX4" s="16"/>
      <c r="NHZ4" s="297"/>
      <c r="NIA4" s="298"/>
      <c r="NIB4" s="298"/>
      <c r="NIC4" s="297"/>
      <c r="NID4" s="297"/>
      <c r="NIE4" s="297"/>
      <c r="NIF4" s="298"/>
      <c r="NIG4" s="299"/>
      <c r="NIH4" s="297"/>
      <c r="NII4" s="297"/>
      <c r="NIJ4" s="299"/>
      <c r="NIK4" s="299"/>
      <c r="NIL4" s="297"/>
      <c r="NIM4" s="297"/>
      <c r="NIN4" s="299"/>
      <c r="NIO4" s="299"/>
      <c r="NIP4" s="297"/>
      <c r="NIQ4" s="297"/>
      <c r="NIR4" s="297"/>
      <c r="NIS4" s="16"/>
      <c r="NIT4" s="16"/>
      <c r="NIU4" s="16"/>
      <c r="NIV4" s="16"/>
      <c r="NIX4" s="297"/>
      <c r="NIY4" s="298"/>
      <c r="NIZ4" s="298"/>
      <c r="NJA4" s="297"/>
      <c r="NJB4" s="297"/>
      <c r="NJC4" s="297"/>
      <c r="NJD4" s="298"/>
      <c r="NJE4" s="299"/>
      <c r="NJF4" s="297"/>
      <c r="NJG4" s="297"/>
      <c r="NJH4" s="299"/>
      <c r="NJI4" s="299"/>
      <c r="NJJ4" s="297"/>
      <c r="NJK4" s="297"/>
      <c r="NJL4" s="299"/>
      <c r="NJM4" s="299"/>
      <c r="NJN4" s="297"/>
      <c r="NJO4" s="297"/>
      <c r="NJP4" s="297"/>
      <c r="NJQ4" s="16"/>
      <c r="NJR4" s="16"/>
      <c r="NJS4" s="16"/>
      <c r="NJT4" s="16"/>
      <c r="NJV4" s="297"/>
      <c r="NJW4" s="298"/>
      <c r="NJX4" s="298"/>
      <c r="NJY4" s="297"/>
      <c r="NJZ4" s="297"/>
      <c r="NKA4" s="297"/>
      <c r="NKB4" s="298"/>
      <c r="NKC4" s="299"/>
      <c r="NKD4" s="297"/>
      <c r="NKE4" s="297"/>
      <c r="NKF4" s="299"/>
      <c r="NKG4" s="299"/>
      <c r="NKH4" s="297"/>
      <c r="NKI4" s="297"/>
      <c r="NKJ4" s="299"/>
      <c r="NKK4" s="299"/>
      <c r="NKL4" s="297"/>
      <c r="NKM4" s="297"/>
      <c r="NKN4" s="297"/>
      <c r="NKO4" s="16"/>
      <c r="NKP4" s="16"/>
      <c r="NKQ4" s="16"/>
      <c r="NKR4" s="16"/>
      <c r="NKT4" s="297"/>
      <c r="NKU4" s="298"/>
      <c r="NKV4" s="298"/>
      <c r="NKW4" s="297"/>
      <c r="NKX4" s="297"/>
      <c r="NKY4" s="297"/>
      <c r="NKZ4" s="298"/>
      <c r="NLA4" s="299"/>
      <c r="NLB4" s="297"/>
      <c r="NLC4" s="297"/>
      <c r="NLD4" s="299"/>
      <c r="NLE4" s="299"/>
      <c r="NLF4" s="297"/>
      <c r="NLG4" s="297"/>
      <c r="NLH4" s="299"/>
      <c r="NLI4" s="299"/>
      <c r="NLJ4" s="297"/>
      <c r="NLK4" s="297"/>
      <c r="NLL4" s="297"/>
      <c r="NLM4" s="16"/>
      <c r="NLN4" s="16"/>
      <c r="NLO4" s="16"/>
      <c r="NLP4" s="16"/>
      <c r="NLR4" s="297"/>
      <c r="NLS4" s="298"/>
      <c r="NLT4" s="298"/>
      <c r="NLU4" s="297"/>
      <c r="NLV4" s="297"/>
      <c r="NLW4" s="297"/>
      <c r="NLX4" s="298"/>
      <c r="NLY4" s="299"/>
      <c r="NLZ4" s="297"/>
      <c r="NMA4" s="297"/>
      <c r="NMB4" s="299"/>
      <c r="NMC4" s="299"/>
      <c r="NMD4" s="297"/>
      <c r="NME4" s="297"/>
      <c r="NMF4" s="299"/>
      <c r="NMG4" s="299"/>
      <c r="NMH4" s="297"/>
      <c r="NMI4" s="297"/>
      <c r="NMJ4" s="297"/>
      <c r="NMK4" s="16"/>
      <c r="NML4" s="16"/>
      <c r="NMM4" s="16"/>
      <c r="NMN4" s="16"/>
      <c r="NMP4" s="297"/>
      <c r="NMQ4" s="298"/>
      <c r="NMR4" s="298"/>
      <c r="NMS4" s="297"/>
      <c r="NMT4" s="297"/>
      <c r="NMU4" s="297"/>
      <c r="NMV4" s="298"/>
      <c r="NMW4" s="299"/>
      <c r="NMX4" s="297"/>
      <c r="NMY4" s="297"/>
      <c r="NMZ4" s="299"/>
      <c r="NNA4" s="299"/>
      <c r="NNB4" s="297"/>
      <c r="NNC4" s="297"/>
      <c r="NND4" s="299"/>
      <c r="NNE4" s="299"/>
      <c r="NNF4" s="297"/>
      <c r="NNG4" s="297"/>
      <c r="NNH4" s="297"/>
      <c r="NNI4" s="16"/>
      <c r="NNJ4" s="16"/>
      <c r="NNK4" s="16"/>
      <c r="NNL4" s="16"/>
      <c r="NNN4" s="297"/>
      <c r="NNO4" s="298"/>
      <c r="NNP4" s="298"/>
      <c r="NNQ4" s="297"/>
      <c r="NNR4" s="297"/>
      <c r="NNS4" s="297"/>
      <c r="NNT4" s="298"/>
      <c r="NNU4" s="299"/>
      <c r="NNV4" s="297"/>
      <c r="NNW4" s="297"/>
      <c r="NNX4" s="299"/>
      <c r="NNY4" s="299"/>
      <c r="NNZ4" s="297"/>
      <c r="NOA4" s="297"/>
      <c r="NOB4" s="299"/>
      <c r="NOC4" s="299"/>
      <c r="NOD4" s="297"/>
      <c r="NOE4" s="297"/>
      <c r="NOF4" s="297"/>
      <c r="NOG4" s="16"/>
      <c r="NOH4" s="16"/>
      <c r="NOI4" s="16"/>
      <c r="NOJ4" s="16"/>
      <c r="NOL4" s="297"/>
      <c r="NOM4" s="298"/>
      <c r="NON4" s="298"/>
      <c r="NOO4" s="297"/>
      <c r="NOP4" s="297"/>
      <c r="NOQ4" s="297"/>
      <c r="NOR4" s="298"/>
      <c r="NOS4" s="299"/>
      <c r="NOT4" s="297"/>
      <c r="NOU4" s="297"/>
      <c r="NOV4" s="299"/>
      <c r="NOW4" s="299"/>
      <c r="NOX4" s="297"/>
      <c r="NOY4" s="297"/>
      <c r="NOZ4" s="299"/>
      <c r="NPA4" s="299"/>
      <c r="NPB4" s="297"/>
      <c r="NPC4" s="297"/>
      <c r="NPD4" s="297"/>
      <c r="NPE4" s="16"/>
      <c r="NPF4" s="16"/>
      <c r="NPG4" s="16"/>
      <c r="NPH4" s="16"/>
      <c r="NPJ4" s="297"/>
      <c r="NPK4" s="298"/>
      <c r="NPL4" s="298"/>
      <c r="NPM4" s="297"/>
      <c r="NPN4" s="297"/>
      <c r="NPO4" s="297"/>
      <c r="NPP4" s="298"/>
      <c r="NPQ4" s="299"/>
      <c r="NPR4" s="297"/>
      <c r="NPS4" s="297"/>
      <c r="NPT4" s="299"/>
      <c r="NPU4" s="299"/>
      <c r="NPV4" s="297"/>
      <c r="NPW4" s="297"/>
      <c r="NPX4" s="299"/>
      <c r="NPY4" s="299"/>
      <c r="NPZ4" s="297"/>
      <c r="NQA4" s="297"/>
      <c r="NQB4" s="297"/>
      <c r="NQC4" s="16"/>
      <c r="NQD4" s="16"/>
      <c r="NQE4" s="16"/>
      <c r="NQF4" s="16"/>
      <c r="NQH4" s="297"/>
      <c r="NQI4" s="298"/>
      <c r="NQJ4" s="298"/>
      <c r="NQK4" s="297"/>
      <c r="NQL4" s="297"/>
      <c r="NQM4" s="297"/>
      <c r="NQN4" s="298"/>
      <c r="NQO4" s="299"/>
      <c r="NQP4" s="297"/>
      <c r="NQQ4" s="297"/>
      <c r="NQR4" s="299"/>
      <c r="NQS4" s="299"/>
      <c r="NQT4" s="297"/>
      <c r="NQU4" s="297"/>
      <c r="NQV4" s="299"/>
      <c r="NQW4" s="299"/>
      <c r="NQX4" s="297"/>
      <c r="NQY4" s="297"/>
      <c r="NQZ4" s="297"/>
      <c r="NRA4" s="16"/>
      <c r="NRB4" s="16"/>
      <c r="NRC4" s="16"/>
      <c r="NRD4" s="16"/>
      <c r="NRF4" s="297"/>
      <c r="NRG4" s="298"/>
      <c r="NRH4" s="298"/>
      <c r="NRI4" s="297"/>
      <c r="NRJ4" s="297"/>
      <c r="NRK4" s="297"/>
      <c r="NRL4" s="298"/>
      <c r="NRM4" s="299"/>
      <c r="NRN4" s="297"/>
      <c r="NRO4" s="297"/>
      <c r="NRP4" s="299"/>
      <c r="NRQ4" s="299"/>
      <c r="NRR4" s="297"/>
      <c r="NRS4" s="297"/>
      <c r="NRT4" s="299"/>
      <c r="NRU4" s="299"/>
      <c r="NRV4" s="297"/>
      <c r="NRW4" s="297"/>
      <c r="NRX4" s="297"/>
      <c r="NRY4" s="16"/>
      <c r="NRZ4" s="16"/>
      <c r="NSA4" s="16"/>
      <c r="NSB4" s="16"/>
      <c r="NSD4" s="297"/>
      <c r="NSE4" s="298"/>
      <c r="NSF4" s="298"/>
      <c r="NSG4" s="297"/>
      <c r="NSH4" s="297"/>
      <c r="NSI4" s="297"/>
      <c r="NSJ4" s="298"/>
      <c r="NSK4" s="299"/>
      <c r="NSL4" s="297"/>
      <c r="NSM4" s="297"/>
      <c r="NSN4" s="299"/>
      <c r="NSO4" s="299"/>
      <c r="NSP4" s="297"/>
      <c r="NSQ4" s="297"/>
      <c r="NSR4" s="299"/>
      <c r="NSS4" s="299"/>
      <c r="NST4" s="297"/>
      <c r="NSU4" s="297"/>
      <c r="NSV4" s="297"/>
      <c r="NSW4" s="16"/>
      <c r="NSX4" s="16"/>
      <c r="NSY4" s="16"/>
      <c r="NSZ4" s="16"/>
      <c r="NTB4" s="297"/>
      <c r="NTC4" s="298"/>
      <c r="NTD4" s="298"/>
      <c r="NTE4" s="297"/>
      <c r="NTF4" s="297"/>
      <c r="NTG4" s="297"/>
      <c r="NTH4" s="298"/>
      <c r="NTI4" s="299"/>
      <c r="NTJ4" s="297"/>
      <c r="NTK4" s="297"/>
      <c r="NTL4" s="299"/>
      <c r="NTM4" s="299"/>
      <c r="NTN4" s="297"/>
      <c r="NTO4" s="297"/>
      <c r="NTP4" s="299"/>
      <c r="NTQ4" s="299"/>
      <c r="NTR4" s="297"/>
      <c r="NTS4" s="297"/>
      <c r="NTT4" s="297"/>
      <c r="NTU4" s="16"/>
      <c r="NTV4" s="16"/>
      <c r="NTW4" s="16"/>
      <c r="NTX4" s="16"/>
      <c r="NTZ4" s="297"/>
      <c r="NUA4" s="298"/>
      <c r="NUB4" s="298"/>
      <c r="NUC4" s="297"/>
      <c r="NUD4" s="297"/>
      <c r="NUE4" s="297"/>
      <c r="NUF4" s="298"/>
      <c r="NUG4" s="299"/>
      <c r="NUH4" s="297"/>
      <c r="NUI4" s="297"/>
      <c r="NUJ4" s="299"/>
      <c r="NUK4" s="299"/>
      <c r="NUL4" s="297"/>
      <c r="NUM4" s="297"/>
      <c r="NUN4" s="299"/>
      <c r="NUO4" s="299"/>
      <c r="NUP4" s="297"/>
      <c r="NUQ4" s="297"/>
      <c r="NUR4" s="297"/>
      <c r="NUS4" s="16"/>
      <c r="NUT4" s="16"/>
      <c r="NUU4" s="16"/>
      <c r="NUV4" s="16"/>
      <c r="NUX4" s="297"/>
      <c r="NUY4" s="298"/>
      <c r="NUZ4" s="298"/>
      <c r="NVA4" s="297"/>
      <c r="NVB4" s="297"/>
      <c r="NVC4" s="297"/>
      <c r="NVD4" s="298"/>
      <c r="NVE4" s="299"/>
      <c r="NVF4" s="297"/>
      <c r="NVG4" s="297"/>
      <c r="NVH4" s="299"/>
      <c r="NVI4" s="299"/>
      <c r="NVJ4" s="297"/>
      <c r="NVK4" s="297"/>
      <c r="NVL4" s="299"/>
      <c r="NVM4" s="299"/>
      <c r="NVN4" s="297"/>
      <c r="NVO4" s="297"/>
      <c r="NVP4" s="297"/>
      <c r="NVQ4" s="16"/>
      <c r="NVR4" s="16"/>
      <c r="NVS4" s="16"/>
      <c r="NVT4" s="16"/>
      <c r="NVV4" s="297"/>
      <c r="NVW4" s="298"/>
      <c r="NVX4" s="298"/>
      <c r="NVY4" s="297"/>
      <c r="NVZ4" s="297"/>
      <c r="NWA4" s="297"/>
      <c r="NWB4" s="298"/>
      <c r="NWC4" s="299"/>
      <c r="NWD4" s="297"/>
      <c r="NWE4" s="297"/>
      <c r="NWF4" s="299"/>
      <c r="NWG4" s="299"/>
      <c r="NWH4" s="297"/>
      <c r="NWI4" s="297"/>
      <c r="NWJ4" s="299"/>
      <c r="NWK4" s="299"/>
      <c r="NWL4" s="297"/>
      <c r="NWM4" s="297"/>
      <c r="NWN4" s="297"/>
      <c r="NWO4" s="16"/>
      <c r="NWP4" s="16"/>
      <c r="NWQ4" s="16"/>
      <c r="NWR4" s="16"/>
      <c r="NWT4" s="297"/>
      <c r="NWU4" s="298"/>
      <c r="NWV4" s="298"/>
      <c r="NWW4" s="297"/>
      <c r="NWX4" s="297"/>
      <c r="NWY4" s="297"/>
      <c r="NWZ4" s="298"/>
      <c r="NXA4" s="299"/>
      <c r="NXB4" s="297"/>
      <c r="NXC4" s="297"/>
      <c r="NXD4" s="299"/>
      <c r="NXE4" s="299"/>
      <c r="NXF4" s="297"/>
      <c r="NXG4" s="297"/>
      <c r="NXH4" s="299"/>
      <c r="NXI4" s="299"/>
      <c r="NXJ4" s="297"/>
      <c r="NXK4" s="297"/>
      <c r="NXL4" s="297"/>
      <c r="NXM4" s="16"/>
      <c r="NXN4" s="16"/>
      <c r="NXO4" s="16"/>
      <c r="NXP4" s="16"/>
      <c r="NXR4" s="297"/>
      <c r="NXS4" s="298"/>
      <c r="NXT4" s="298"/>
      <c r="NXU4" s="297"/>
      <c r="NXV4" s="297"/>
      <c r="NXW4" s="297"/>
      <c r="NXX4" s="298"/>
      <c r="NXY4" s="299"/>
      <c r="NXZ4" s="297"/>
      <c r="NYA4" s="297"/>
      <c r="NYB4" s="299"/>
      <c r="NYC4" s="299"/>
      <c r="NYD4" s="297"/>
      <c r="NYE4" s="297"/>
      <c r="NYF4" s="299"/>
      <c r="NYG4" s="299"/>
      <c r="NYH4" s="297"/>
      <c r="NYI4" s="297"/>
      <c r="NYJ4" s="297"/>
      <c r="NYK4" s="16"/>
      <c r="NYL4" s="16"/>
      <c r="NYM4" s="16"/>
      <c r="NYN4" s="16"/>
      <c r="NYP4" s="297"/>
      <c r="NYQ4" s="298"/>
      <c r="NYR4" s="298"/>
      <c r="NYS4" s="297"/>
      <c r="NYT4" s="297"/>
      <c r="NYU4" s="297"/>
      <c r="NYV4" s="298"/>
      <c r="NYW4" s="299"/>
      <c r="NYX4" s="297"/>
      <c r="NYY4" s="297"/>
      <c r="NYZ4" s="299"/>
      <c r="NZA4" s="299"/>
      <c r="NZB4" s="297"/>
      <c r="NZC4" s="297"/>
      <c r="NZD4" s="299"/>
      <c r="NZE4" s="299"/>
      <c r="NZF4" s="297"/>
      <c r="NZG4" s="297"/>
      <c r="NZH4" s="297"/>
      <c r="NZI4" s="16"/>
      <c r="NZJ4" s="16"/>
      <c r="NZK4" s="16"/>
      <c r="NZL4" s="16"/>
      <c r="NZN4" s="297"/>
      <c r="NZO4" s="298"/>
      <c r="NZP4" s="298"/>
      <c r="NZQ4" s="297"/>
      <c r="NZR4" s="297"/>
      <c r="NZS4" s="297"/>
      <c r="NZT4" s="298"/>
      <c r="NZU4" s="299"/>
      <c r="NZV4" s="297"/>
      <c r="NZW4" s="297"/>
      <c r="NZX4" s="299"/>
      <c r="NZY4" s="299"/>
      <c r="NZZ4" s="297"/>
      <c r="OAA4" s="297"/>
      <c r="OAB4" s="299"/>
      <c r="OAC4" s="299"/>
      <c r="OAD4" s="297"/>
      <c r="OAE4" s="297"/>
      <c r="OAF4" s="297"/>
      <c r="OAG4" s="16"/>
      <c r="OAH4" s="16"/>
      <c r="OAI4" s="16"/>
      <c r="OAJ4" s="16"/>
      <c r="OAL4" s="297"/>
      <c r="OAM4" s="298"/>
      <c r="OAN4" s="298"/>
      <c r="OAO4" s="297"/>
      <c r="OAP4" s="297"/>
      <c r="OAQ4" s="297"/>
      <c r="OAR4" s="298"/>
      <c r="OAS4" s="299"/>
      <c r="OAT4" s="297"/>
      <c r="OAU4" s="297"/>
      <c r="OAV4" s="299"/>
      <c r="OAW4" s="299"/>
      <c r="OAX4" s="297"/>
      <c r="OAY4" s="297"/>
      <c r="OAZ4" s="299"/>
      <c r="OBA4" s="299"/>
      <c r="OBB4" s="297"/>
      <c r="OBC4" s="297"/>
      <c r="OBD4" s="297"/>
      <c r="OBE4" s="16"/>
      <c r="OBF4" s="16"/>
      <c r="OBG4" s="16"/>
      <c r="OBH4" s="16"/>
      <c r="OBJ4" s="297"/>
      <c r="OBK4" s="298"/>
      <c r="OBL4" s="298"/>
      <c r="OBM4" s="297"/>
      <c r="OBN4" s="297"/>
      <c r="OBO4" s="297"/>
      <c r="OBP4" s="298"/>
      <c r="OBQ4" s="299"/>
      <c r="OBR4" s="297"/>
      <c r="OBS4" s="297"/>
      <c r="OBT4" s="299"/>
      <c r="OBU4" s="299"/>
      <c r="OBV4" s="297"/>
      <c r="OBW4" s="297"/>
      <c r="OBX4" s="299"/>
      <c r="OBY4" s="299"/>
      <c r="OBZ4" s="297"/>
      <c r="OCA4" s="297"/>
      <c r="OCB4" s="297"/>
      <c r="OCC4" s="16"/>
      <c r="OCD4" s="16"/>
      <c r="OCE4" s="16"/>
      <c r="OCF4" s="16"/>
      <c r="OCH4" s="297"/>
      <c r="OCI4" s="298"/>
      <c r="OCJ4" s="298"/>
      <c r="OCK4" s="297"/>
      <c r="OCL4" s="297"/>
      <c r="OCM4" s="297"/>
      <c r="OCN4" s="298"/>
      <c r="OCO4" s="299"/>
      <c r="OCP4" s="297"/>
      <c r="OCQ4" s="297"/>
      <c r="OCR4" s="299"/>
      <c r="OCS4" s="299"/>
      <c r="OCT4" s="297"/>
      <c r="OCU4" s="297"/>
      <c r="OCV4" s="299"/>
      <c r="OCW4" s="299"/>
      <c r="OCX4" s="297"/>
      <c r="OCY4" s="297"/>
      <c r="OCZ4" s="297"/>
      <c r="ODA4" s="16"/>
      <c r="ODB4" s="16"/>
      <c r="ODC4" s="16"/>
      <c r="ODD4" s="16"/>
      <c r="ODF4" s="297"/>
      <c r="ODG4" s="298"/>
      <c r="ODH4" s="298"/>
      <c r="ODI4" s="297"/>
      <c r="ODJ4" s="297"/>
      <c r="ODK4" s="297"/>
      <c r="ODL4" s="298"/>
      <c r="ODM4" s="299"/>
      <c r="ODN4" s="297"/>
      <c r="ODO4" s="297"/>
      <c r="ODP4" s="299"/>
      <c r="ODQ4" s="299"/>
      <c r="ODR4" s="297"/>
      <c r="ODS4" s="297"/>
      <c r="ODT4" s="299"/>
      <c r="ODU4" s="299"/>
      <c r="ODV4" s="297"/>
      <c r="ODW4" s="297"/>
      <c r="ODX4" s="297"/>
      <c r="ODY4" s="16"/>
      <c r="ODZ4" s="16"/>
      <c r="OEA4" s="16"/>
      <c r="OEB4" s="16"/>
      <c r="OED4" s="297"/>
      <c r="OEE4" s="298"/>
      <c r="OEF4" s="298"/>
      <c r="OEG4" s="297"/>
      <c r="OEH4" s="297"/>
      <c r="OEI4" s="297"/>
      <c r="OEJ4" s="298"/>
      <c r="OEK4" s="299"/>
      <c r="OEL4" s="297"/>
      <c r="OEM4" s="297"/>
      <c r="OEN4" s="299"/>
      <c r="OEO4" s="299"/>
      <c r="OEP4" s="297"/>
      <c r="OEQ4" s="297"/>
      <c r="OER4" s="299"/>
      <c r="OES4" s="299"/>
      <c r="OET4" s="297"/>
      <c r="OEU4" s="297"/>
      <c r="OEV4" s="297"/>
      <c r="OEW4" s="16"/>
      <c r="OEX4" s="16"/>
      <c r="OEY4" s="16"/>
      <c r="OEZ4" s="16"/>
      <c r="OFB4" s="297"/>
      <c r="OFC4" s="298"/>
      <c r="OFD4" s="298"/>
      <c r="OFE4" s="297"/>
      <c r="OFF4" s="297"/>
      <c r="OFG4" s="297"/>
      <c r="OFH4" s="298"/>
      <c r="OFI4" s="299"/>
      <c r="OFJ4" s="297"/>
      <c r="OFK4" s="297"/>
      <c r="OFL4" s="299"/>
      <c r="OFM4" s="299"/>
      <c r="OFN4" s="297"/>
      <c r="OFO4" s="297"/>
      <c r="OFP4" s="299"/>
      <c r="OFQ4" s="299"/>
      <c r="OFR4" s="297"/>
      <c r="OFS4" s="297"/>
      <c r="OFT4" s="297"/>
      <c r="OFU4" s="16"/>
      <c r="OFV4" s="16"/>
      <c r="OFW4" s="16"/>
      <c r="OFX4" s="16"/>
      <c r="OFZ4" s="297"/>
      <c r="OGA4" s="298"/>
      <c r="OGB4" s="298"/>
      <c r="OGC4" s="297"/>
      <c r="OGD4" s="297"/>
      <c r="OGE4" s="297"/>
      <c r="OGF4" s="298"/>
      <c r="OGG4" s="299"/>
      <c r="OGH4" s="297"/>
      <c r="OGI4" s="297"/>
      <c r="OGJ4" s="299"/>
      <c r="OGK4" s="299"/>
      <c r="OGL4" s="297"/>
      <c r="OGM4" s="297"/>
      <c r="OGN4" s="299"/>
      <c r="OGO4" s="299"/>
      <c r="OGP4" s="297"/>
      <c r="OGQ4" s="297"/>
      <c r="OGR4" s="297"/>
      <c r="OGS4" s="16"/>
      <c r="OGT4" s="16"/>
      <c r="OGU4" s="16"/>
      <c r="OGV4" s="16"/>
      <c r="OGX4" s="297"/>
      <c r="OGY4" s="298"/>
      <c r="OGZ4" s="298"/>
      <c r="OHA4" s="297"/>
      <c r="OHB4" s="297"/>
      <c r="OHC4" s="297"/>
      <c r="OHD4" s="298"/>
      <c r="OHE4" s="299"/>
      <c r="OHF4" s="297"/>
      <c r="OHG4" s="297"/>
      <c r="OHH4" s="299"/>
      <c r="OHI4" s="299"/>
      <c r="OHJ4" s="297"/>
      <c r="OHK4" s="297"/>
      <c r="OHL4" s="299"/>
      <c r="OHM4" s="299"/>
      <c r="OHN4" s="297"/>
      <c r="OHO4" s="297"/>
      <c r="OHP4" s="297"/>
      <c r="OHQ4" s="16"/>
      <c r="OHR4" s="16"/>
      <c r="OHS4" s="16"/>
      <c r="OHT4" s="16"/>
      <c r="OHV4" s="297"/>
      <c r="OHW4" s="298"/>
      <c r="OHX4" s="298"/>
      <c r="OHY4" s="297"/>
      <c r="OHZ4" s="297"/>
      <c r="OIA4" s="297"/>
      <c r="OIB4" s="298"/>
      <c r="OIC4" s="299"/>
      <c r="OID4" s="297"/>
      <c r="OIE4" s="297"/>
      <c r="OIF4" s="299"/>
      <c r="OIG4" s="299"/>
      <c r="OIH4" s="297"/>
      <c r="OII4" s="297"/>
      <c r="OIJ4" s="299"/>
      <c r="OIK4" s="299"/>
      <c r="OIL4" s="297"/>
      <c r="OIM4" s="297"/>
      <c r="OIN4" s="297"/>
      <c r="OIO4" s="16"/>
      <c r="OIP4" s="16"/>
      <c r="OIQ4" s="16"/>
      <c r="OIR4" s="16"/>
      <c r="OIT4" s="297"/>
      <c r="OIU4" s="298"/>
      <c r="OIV4" s="298"/>
      <c r="OIW4" s="297"/>
      <c r="OIX4" s="297"/>
      <c r="OIY4" s="297"/>
      <c r="OIZ4" s="298"/>
      <c r="OJA4" s="299"/>
      <c r="OJB4" s="297"/>
      <c r="OJC4" s="297"/>
      <c r="OJD4" s="299"/>
      <c r="OJE4" s="299"/>
      <c r="OJF4" s="297"/>
      <c r="OJG4" s="297"/>
      <c r="OJH4" s="299"/>
      <c r="OJI4" s="299"/>
      <c r="OJJ4" s="297"/>
      <c r="OJK4" s="297"/>
      <c r="OJL4" s="297"/>
      <c r="OJM4" s="16"/>
      <c r="OJN4" s="16"/>
      <c r="OJO4" s="16"/>
      <c r="OJP4" s="16"/>
      <c r="OJR4" s="297"/>
      <c r="OJS4" s="298"/>
      <c r="OJT4" s="298"/>
      <c r="OJU4" s="297"/>
      <c r="OJV4" s="297"/>
      <c r="OJW4" s="297"/>
      <c r="OJX4" s="298"/>
      <c r="OJY4" s="299"/>
      <c r="OJZ4" s="297"/>
      <c r="OKA4" s="297"/>
      <c r="OKB4" s="299"/>
      <c r="OKC4" s="299"/>
      <c r="OKD4" s="297"/>
      <c r="OKE4" s="297"/>
      <c r="OKF4" s="299"/>
      <c r="OKG4" s="299"/>
      <c r="OKH4" s="297"/>
      <c r="OKI4" s="297"/>
      <c r="OKJ4" s="297"/>
      <c r="OKK4" s="16"/>
      <c r="OKL4" s="16"/>
      <c r="OKM4" s="16"/>
      <c r="OKN4" s="16"/>
      <c r="OKP4" s="297"/>
      <c r="OKQ4" s="298"/>
      <c r="OKR4" s="298"/>
      <c r="OKS4" s="297"/>
      <c r="OKT4" s="297"/>
      <c r="OKU4" s="297"/>
      <c r="OKV4" s="298"/>
      <c r="OKW4" s="299"/>
      <c r="OKX4" s="297"/>
      <c r="OKY4" s="297"/>
      <c r="OKZ4" s="299"/>
      <c r="OLA4" s="299"/>
      <c r="OLB4" s="297"/>
      <c r="OLC4" s="297"/>
      <c r="OLD4" s="299"/>
      <c r="OLE4" s="299"/>
      <c r="OLF4" s="297"/>
      <c r="OLG4" s="297"/>
      <c r="OLH4" s="297"/>
      <c r="OLI4" s="16"/>
      <c r="OLJ4" s="16"/>
      <c r="OLK4" s="16"/>
      <c r="OLL4" s="16"/>
      <c r="OLN4" s="297"/>
      <c r="OLO4" s="298"/>
      <c r="OLP4" s="298"/>
      <c r="OLQ4" s="297"/>
      <c r="OLR4" s="297"/>
      <c r="OLS4" s="297"/>
      <c r="OLT4" s="298"/>
      <c r="OLU4" s="299"/>
      <c r="OLV4" s="297"/>
      <c r="OLW4" s="297"/>
      <c r="OLX4" s="299"/>
      <c r="OLY4" s="299"/>
      <c r="OLZ4" s="297"/>
      <c r="OMA4" s="297"/>
      <c r="OMB4" s="299"/>
      <c r="OMC4" s="299"/>
      <c r="OMD4" s="297"/>
      <c r="OME4" s="297"/>
      <c r="OMF4" s="297"/>
      <c r="OMG4" s="16"/>
      <c r="OMH4" s="16"/>
      <c r="OMI4" s="16"/>
      <c r="OMJ4" s="16"/>
      <c r="OML4" s="297"/>
      <c r="OMM4" s="298"/>
      <c r="OMN4" s="298"/>
      <c r="OMO4" s="297"/>
      <c r="OMP4" s="297"/>
      <c r="OMQ4" s="297"/>
      <c r="OMR4" s="298"/>
      <c r="OMS4" s="299"/>
      <c r="OMT4" s="297"/>
      <c r="OMU4" s="297"/>
      <c r="OMV4" s="299"/>
      <c r="OMW4" s="299"/>
      <c r="OMX4" s="297"/>
      <c r="OMY4" s="297"/>
      <c r="OMZ4" s="299"/>
      <c r="ONA4" s="299"/>
      <c r="ONB4" s="297"/>
      <c r="ONC4" s="297"/>
      <c r="OND4" s="297"/>
      <c r="ONE4" s="16"/>
      <c r="ONF4" s="16"/>
      <c r="ONG4" s="16"/>
      <c r="ONH4" s="16"/>
      <c r="ONJ4" s="297"/>
      <c r="ONK4" s="298"/>
      <c r="ONL4" s="298"/>
      <c r="ONM4" s="297"/>
      <c r="ONN4" s="297"/>
      <c r="ONO4" s="297"/>
      <c r="ONP4" s="298"/>
      <c r="ONQ4" s="299"/>
      <c r="ONR4" s="297"/>
      <c r="ONS4" s="297"/>
      <c r="ONT4" s="299"/>
      <c r="ONU4" s="299"/>
      <c r="ONV4" s="297"/>
      <c r="ONW4" s="297"/>
      <c r="ONX4" s="299"/>
      <c r="ONY4" s="299"/>
      <c r="ONZ4" s="297"/>
      <c r="OOA4" s="297"/>
      <c r="OOB4" s="297"/>
      <c r="OOC4" s="16"/>
      <c r="OOD4" s="16"/>
      <c r="OOE4" s="16"/>
      <c r="OOF4" s="16"/>
      <c r="OOH4" s="297"/>
      <c r="OOI4" s="298"/>
      <c r="OOJ4" s="298"/>
      <c r="OOK4" s="297"/>
      <c r="OOL4" s="297"/>
      <c r="OOM4" s="297"/>
      <c r="OON4" s="298"/>
      <c r="OOO4" s="299"/>
      <c r="OOP4" s="297"/>
      <c r="OOQ4" s="297"/>
      <c r="OOR4" s="299"/>
      <c r="OOS4" s="299"/>
      <c r="OOT4" s="297"/>
      <c r="OOU4" s="297"/>
      <c r="OOV4" s="299"/>
      <c r="OOW4" s="299"/>
      <c r="OOX4" s="297"/>
      <c r="OOY4" s="297"/>
      <c r="OOZ4" s="297"/>
      <c r="OPA4" s="16"/>
      <c r="OPB4" s="16"/>
      <c r="OPC4" s="16"/>
      <c r="OPD4" s="16"/>
      <c r="OPF4" s="297"/>
      <c r="OPG4" s="298"/>
      <c r="OPH4" s="298"/>
      <c r="OPI4" s="297"/>
      <c r="OPJ4" s="297"/>
      <c r="OPK4" s="297"/>
      <c r="OPL4" s="298"/>
      <c r="OPM4" s="299"/>
      <c r="OPN4" s="297"/>
      <c r="OPO4" s="297"/>
      <c r="OPP4" s="299"/>
      <c r="OPQ4" s="299"/>
      <c r="OPR4" s="297"/>
      <c r="OPS4" s="297"/>
      <c r="OPT4" s="299"/>
      <c r="OPU4" s="299"/>
      <c r="OPV4" s="297"/>
      <c r="OPW4" s="297"/>
      <c r="OPX4" s="297"/>
      <c r="OPY4" s="16"/>
      <c r="OPZ4" s="16"/>
      <c r="OQA4" s="16"/>
      <c r="OQB4" s="16"/>
      <c r="OQD4" s="297"/>
      <c r="OQE4" s="298"/>
      <c r="OQF4" s="298"/>
      <c r="OQG4" s="297"/>
      <c r="OQH4" s="297"/>
      <c r="OQI4" s="297"/>
      <c r="OQJ4" s="298"/>
      <c r="OQK4" s="299"/>
      <c r="OQL4" s="297"/>
      <c r="OQM4" s="297"/>
      <c r="OQN4" s="299"/>
      <c r="OQO4" s="299"/>
      <c r="OQP4" s="297"/>
      <c r="OQQ4" s="297"/>
      <c r="OQR4" s="299"/>
      <c r="OQS4" s="299"/>
      <c r="OQT4" s="297"/>
      <c r="OQU4" s="297"/>
      <c r="OQV4" s="297"/>
      <c r="OQW4" s="16"/>
      <c r="OQX4" s="16"/>
      <c r="OQY4" s="16"/>
      <c r="OQZ4" s="16"/>
      <c r="ORB4" s="297"/>
      <c r="ORC4" s="298"/>
      <c r="ORD4" s="298"/>
      <c r="ORE4" s="297"/>
      <c r="ORF4" s="297"/>
      <c r="ORG4" s="297"/>
      <c r="ORH4" s="298"/>
      <c r="ORI4" s="299"/>
      <c r="ORJ4" s="297"/>
      <c r="ORK4" s="297"/>
      <c r="ORL4" s="299"/>
      <c r="ORM4" s="299"/>
      <c r="ORN4" s="297"/>
      <c r="ORO4" s="297"/>
      <c r="ORP4" s="299"/>
      <c r="ORQ4" s="299"/>
      <c r="ORR4" s="297"/>
      <c r="ORS4" s="297"/>
      <c r="ORT4" s="297"/>
      <c r="ORU4" s="16"/>
      <c r="ORV4" s="16"/>
      <c r="ORW4" s="16"/>
      <c r="ORX4" s="16"/>
      <c r="ORZ4" s="297"/>
      <c r="OSA4" s="298"/>
      <c r="OSB4" s="298"/>
      <c r="OSC4" s="297"/>
      <c r="OSD4" s="297"/>
      <c r="OSE4" s="297"/>
      <c r="OSF4" s="298"/>
      <c r="OSG4" s="299"/>
      <c r="OSH4" s="297"/>
      <c r="OSI4" s="297"/>
      <c r="OSJ4" s="299"/>
      <c r="OSK4" s="299"/>
      <c r="OSL4" s="297"/>
      <c r="OSM4" s="297"/>
      <c r="OSN4" s="299"/>
      <c r="OSO4" s="299"/>
      <c r="OSP4" s="297"/>
      <c r="OSQ4" s="297"/>
      <c r="OSR4" s="297"/>
      <c r="OSS4" s="16"/>
      <c r="OST4" s="16"/>
      <c r="OSU4" s="16"/>
      <c r="OSV4" s="16"/>
      <c r="OSX4" s="297"/>
      <c r="OSY4" s="298"/>
      <c r="OSZ4" s="298"/>
      <c r="OTA4" s="297"/>
      <c r="OTB4" s="297"/>
      <c r="OTC4" s="297"/>
      <c r="OTD4" s="298"/>
      <c r="OTE4" s="299"/>
      <c r="OTF4" s="297"/>
      <c r="OTG4" s="297"/>
      <c r="OTH4" s="299"/>
      <c r="OTI4" s="299"/>
      <c r="OTJ4" s="297"/>
      <c r="OTK4" s="297"/>
      <c r="OTL4" s="299"/>
      <c r="OTM4" s="299"/>
      <c r="OTN4" s="297"/>
      <c r="OTO4" s="297"/>
      <c r="OTP4" s="297"/>
      <c r="OTQ4" s="16"/>
      <c r="OTR4" s="16"/>
      <c r="OTS4" s="16"/>
      <c r="OTT4" s="16"/>
      <c r="OTV4" s="297"/>
      <c r="OTW4" s="298"/>
      <c r="OTX4" s="298"/>
      <c r="OTY4" s="297"/>
      <c r="OTZ4" s="297"/>
      <c r="OUA4" s="297"/>
      <c r="OUB4" s="298"/>
      <c r="OUC4" s="299"/>
      <c r="OUD4" s="297"/>
      <c r="OUE4" s="297"/>
      <c r="OUF4" s="299"/>
      <c r="OUG4" s="299"/>
      <c r="OUH4" s="297"/>
      <c r="OUI4" s="297"/>
      <c r="OUJ4" s="299"/>
      <c r="OUK4" s="299"/>
      <c r="OUL4" s="297"/>
      <c r="OUM4" s="297"/>
      <c r="OUN4" s="297"/>
      <c r="OUO4" s="16"/>
      <c r="OUP4" s="16"/>
      <c r="OUQ4" s="16"/>
      <c r="OUR4" s="16"/>
      <c r="OUT4" s="297"/>
      <c r="OUU4" s="298"/>
      <c r="OUV4" s="298"/>
      <c r="OUW4" s="297"/>
      <c r="OUX4" s="297"/>
      <c r="OUY4" s="297"/>
      <c r="OUZ4" s="298"/>
      <c r="OVA4" s="299"/>
      <c r="OVB4" s="297"/>
      <c r="OVC4" s="297"/>
      <c r="OVD4" s="299"/>
      <c r="OVE4" s="299"/>
      <c r="OVF4" s="297"/>
      <c r="OVG4" s="297"/>
      <c r="OVH4" s="299"/>
      <c r="OVI4" s="299"/>
      <c r="OVJ4" s="297"/>
      <c r="OVK4" s="297"/>
      <c r="OVL4" s="297"/>
      <c r="OVM4" s="16"/>
      <c r="OVN4" s="16"/>
      <c r="OVO4" s="16"/>
      <c r="OVP4" s="16"/>
      <c r="OVR4" s="297"/>
      <c r="OVS4" s="298"/>
      <c r="OVT4" s="298"/>
      <c r="OVU4" s="297"/>
      <c r="OVV4" s="297"/>
      <c r="OVW4" s="297"/>
      <c r="OVX4" s="298"/>
      <c r="OVY4" s="299"/>
      <c r="OVZ4" s="297"/>
      <c r="OWA4" s="297"/>
      <c r="OWB4" s="299"/>
      <c r="OWC4" s="299"/>
      <c r="OWD4" s="297"/>
      <c r="OWE4" s="297"/>
      <c r="OWF4" s="299"/>
      <c r="OWG4" s="299"/>
      <c r="OWH4" s="297"/>
      <c r="OWI4" s="297"/>
      <c r="OWJ4" s="297"/>
      <c r="OWK4" s="16"/>
      <c r="OWL4" s="16"/>
      <c r="OWM4" s="16"/>
      <c r="OWN4" s="16"/>
      <c r="OWP4" s="297"/>
      <c r="OWQ4" s="298"/>
      <c r="OWR4" s="298"/>
      <c r="OWS4" s="297"/>
      <c r="OWT4" s="297"/>
      <c r="OWU4" s="297"/>
      <c r="OWV4" s="298"/>
      <c r="OWW4" s="299"/>
      <c r="OWX4" s="297"/>
      <c r="OWY4" s="297"/>
      <c r="OWZ4" s="299"/>
      <c r="OXA4" s="299"/>
      <c r="OXB4" s="297"/>
      <c r="OXC4" s="297"/>
      <c r="OXD4" s="299"/>
      <c r="OXE4" s="299"/>
      <c r="OXF4" s="297"/>
      <c r="OXG4" s="297"/>
      <c r="OXH4" s="297"/>
      <c r="OXI4" s="16"/>
      <c r="OXJ4" s="16"/>
      <c r="OXK4" s="16"/>
      <c r="OXL4" s="16"/>
      <c r="OXN4" s="297"/>
      <c r="OXO4" s="298"/>
      <c r="OXP4" s="298"/>
      <c r="OXQ4" s="297"/>
      <c r="OXR4" s="297"/>
      <c r="OXS4" s="297"/>
      <c r="OXT4" s="298"/>
      <c r="OXU4" s="299"/>
      <c r="OXV4" s="297"/>
      <c r="OXW4" s="297"/>
      <c r="OXX4" s="299"/>
      <c r="OXY4" s="299"/>
      <c r="OXZ4" s="297"/>
      <c r="OYA4" s="297"/>
      <c r="OYB4" s="299"/>
      <c r="OYC4" s="299"/>
      <c r="OYD4" s="297"/>
      <c r="OYE4" s="297"/>
      <c r="OYF4" s="297"/>
      <c r="OYG4" s="16"/>
      <c r="OYH4" s="16"/>
      <c r="OYI4" s="16"/>
      <c r="OYJ4" s="16"/>
      <c r="OYL4" s="297"/>
      <c r="OYM4" s="298"/>
      <c r="OYN4" s="298"/>
      <c r="OYO4" s="297"/>
      <c r="OYP4" s="297"/>
      <c r="OYQ4" s="297"/>
      <c r="OYR4" s="298"/>
      <c r="OYS4" s="299"/>
      <c r="OYT4" s="297"/>
      <c r="OYU4" s="297"/>
      <c r="OYV4" s="299"/>
      <c r="OYW4" s="299"/>
      <c r="OYX4" s="297"/>
      <c r="OYY4" s="297"/>
      <c r="OYZ4" s="299"/>
      <c r="OZA4" s="299"/>
      <c r="OZB4" s="297"/>
      <c r="OZC4" s="297"/>
      <c r="OZD4" s="297"/>
      <c r="OZE4" s="16"/>
      <c r="OZF4" s="16"/>
      <c r="OZG4" s="16"/>
      <c r="OZH4" s="16"/>
      <c r="OZJ4" s="297"/>
      <c r="OZK4" s="298"/>
      <c r="OZL4" s="298"/>
      <c r="OZM4" s="297"/>
      <c r="OZN4" s="297"/>
      <c r="OZO4" s="297"/>
      <c r="OZP4" s="298"/>
      <c r="OZQ4" s="299"/>
      <c r="OZR4" s="297"/>
      <c r="OZS4" s="297"/>
      <c r="OZT4" s="299"/>
      <c r="OZU4" s="299"/>
      <c r="OZV4" s="297"/>
      <c r="OZW4" s="297"/>
      <c r="OZX4" s="299"/>
      <c r="OZY4" s="299"/>
      <c r="OZZ4" s="297"/>
      <c r="PAA4" s="297"/>
      <c r="PAB4" s="297"/>
      <c r="PAC4" s="16"/>
      <c r="PAD4" s="16"/>
      <c r="PAE4" s="16"/>
      <c r="PAF4" s="16"/>
      <c r="PAH4" s="297"/>
      <c r="PAI4" s="298"/>
      <c r="PAJ4" s="298"/>
      <c r="PAK4" s="297"/>
      <c r="PAL4" s="297"/>
      <c r="PAM4" s="297"/>
      <c r="PAN4" s="298"/>
      <c r="PAO4" s="299"/>
      <c r="PAP4" s="297"/>
      <c r="PAQ4" s="297"/>
      <c r="PAR4" s="299"/>
      <c r="PAS4" s="299"/>
      <c r="PAT4" s="297"/>
      <c r="PAU4" s="297"/>
      <c r="PAV4" s="299"/>
      <c r="PAW4" s="299"/>
      <c r="PAX4" s="297"/>
      <c r="PAY4" s="297"/>
      <c r="PAZ4" s="297"/>
      <c r="PBA4" s="16"/>
      <c r="PBB4" s="16"/>
      <c r="PBC4" s="16"/>
      <c r="PBD4" s="16"/>
      <c r="PBF4" s="297"/>
      <c r="PBG4" s="298"/>
      <c r="PBH4" s="298"/>
      <c r="PBI4" s="297"/>
      <c r="PBJ4" s="297"/>
      <c r="PBK4" s="297"/>
      <c r="PBL4" s="298"/>
      <c r="PBM4" s="299"/>
      <c r="PBN4" s="297"/>
      <c r="PBO4" s="297"/>
      <c r="PBP4" s="299"/>
      <c r="PBQ4" s="299"/>
      <c r="PBR4" s="297"/>
      <c r="PBS4" s="297"/>
      <c r="PBT4" s="299"/>
      <c r="PBU4" s="299"/>
      <c r="PBV4" s="297"/>
      <c r="PBW4" s="297"/>
      <c r="PBX4" s="297"/>
      <c r="PBY4" s="16"/>
      <c r="PBZ4" s="16"/>
      <c r="PCA4" s="16"/>
      <c r="PCB4" s="16"/>
      <c r="PCD4" s="297"/>
      <c r="PCE4" s="298"/>
      <c r="PCF4" s="298"/>
      <c r="PCG4" s="297"/>
      <c r="PCH4" s="297"/>
      <c r="PCI4" s="297"/>
      <c r="PCJ4" s="298"/>
      <c r="PCK4" s="299"/>
      <c r="PCL4" s="297"/>
      <c r="PCM4" s="297"/>
      <c r="PCN4" s="299"/>
      <c r="PCO4" s="299"/>
      <c r="PCP4" s="297"/>
      <c r="PCQ4" s="297"/>
      <c r="PCR4" s="299"/>
      <c r="PCS4" s="299"/>
      <c r="PCT4" s="297"/>
      <c r="PCU4" s="297"/>
      <c r="PCV4" s="297"/>
      <c r="PCW4" s="16"/>
      <c r="PCX4" s="16"/>
      <c r="PCY4" s="16"/>
      <c r="PCZ4" s="16"/>
      <c r="PDB4" s="297"/>
      <c r="PDC4" s="298"/>
      <c r="PDD4" s="298"/>
      <c r="PDE4" s="297"/>
      <c r="PDF4" s="297"/>
      <c r="PDG4" s="297"/>
      <c r="PDH4" s="298"/>
      <c r="PDI4" s="299"/>
      <c r="PDJ4" s="297"/>
      <c r="PDK4" s="297"/>
      <c r="PDL4" s="299"/>
      <c r="PDM4" s="299"/>
      <c r="PDN4" s="297"/>
      <c r="PDO4" s="297"/>
      <c r="PDP4" s="299"/>
      <c r="PDQ4" s="299"/>
      <c r="PDR4" s="297"/>
      <c r="PDS4" s="297"/>
      <c r="PDT4" s="297"/>
      <c r="PDU4" s="16"/>
      <c r="PDV4" s="16"/>
      <c r="PDW4" s="16"/>
      <c r="PDX4" s="16"/>
      <c r="PDZ4" s="297"/>
      <c r="PEA4" s="298"/>
      <c r="PEB4" s="298"/>
      <c r="PEC4" s="297"/>
      <c r="PED4" s="297"/>
      <c r="PEE4" s="297"/>
      <c r="PEF4" s="298"/>
      <c r="PEG4" s="299"/>
      <c r="PEH4" s="297"/>
      <c r="PEI4" s="297"/>
      <c r="PEJ4" s="299"/>
      <c r="PEK4" s="299"/>
      <c r="PEL4" s="297"/>
      <c r="PEM4" s="297"/>
      <c r="PEN4" s="299"/>
      <c r="PEO4" s="299"/>
      <c r="PEP4" s="297"/>
      <c r="PEQ4" s="297"/>
      <c r="PER4" s="297"/>
      <c r="PES4" s="16"/>
      <c r="PET4" s="16"/>
      <c r="PEU4" s="16"/>
      <c r="PEV4" s="16"/>
      <c r="PEX4" s="297"/>
      <c r="PEY4" s="298"/>
      <c r="PEZ4" s="298"/>
      <c r="PFA4" s="297"/>
      <c r="PFB4" s="297"/>
      <c r="PFC4" s="297"/>
      <c r="PFD4" s="298"/>
      <c r="PFE4" s="299"/>
      <c r="PFF4" s="297"/>
      <c r="PFG4" s="297"/>
      <c r="PFH4" s="299"/>
      <c r="PFI4" s="299"/>
      <c r="PFJ4" s="297"/>
      <c r="PFK4" s="297"/>
      <c r="PFL4" s="299"/>
      <c r="PFM4" s="299"/>
      <c r="PFN4" s="297"/>
      <c r="PFO4" s="297"/>
      <c r="PFP4" s="297"/>
      <c r="PFQ4" s="16"/>
      <c r="PFR4" s="16"/>
      <c r="PFS4" s="16"/>
      <c r="PFT4" s="16"/>
      <c r="PFV4" s="297"/>
      <c r="PFW4" s="298"/>
      <c r="PFX4" s="298"/>
      <c r="PFY4" s="297"/>
      <c r="PFZ4" s="297"/>
      <c r="PGA4" s="297"/>
      <c r="PGB4" s="298"/>
      <c r="PGC4" s="299"/>
      <c r="PGD4" s="297"/>
      <c r="PGE4" s="297"/>
      <c r="PGF4" s="299"/>
      <c r="PGG4" s="299"/>
      <c r="PGH4" s="297"/>
      <c r="PGI4" s="297"/>
      <c r="PGJ4" s="299"/>
      <c r="PGK4" s="299"/>
      <c r="PGL4" s="297"/>
      <c r="PGM4" s="297"/>
      <c r="PGN4" s="297"/>
      <c r="PGO4" s="16"/>
      <c r="PGP4" s="16"/>
      <c r="PGQ4" s="16"/>
      <c r="PGR4" s="16"/>
      <c r="PGT4" s="297"/>
      <c r="PGU4" s="298"/>
      <c r="PGV4" s="298"/>
      <c r="PGW4" s="297"/>
      <c r="PGX4" s="297"/>
      <c r="PGY4" s="297"/>
      <c r="PGZ4" s="298"/>
      <c r="PHA4" s="299"/>
      <c r="PHB4" s="297"/>
      <c r="PHC4" s="297"/>
      <c r="PHD4" s="299"/>
      <c r="PHE4" s="299"/>
      <c r="PHF4" s="297"/>
      <c r="PHG4" s="297"/>
      <c r="PHH4" s="299"/>
      <c r="PHI4" s="299"/>
      <c r="PHJ4" s="297"/>
      <c r="PHK4" s="297"/>
      <c r="PHL4" s="297"/>
      <c r="PHM4" s="16"/>
      <c r="PHN4" s="16"/>
      <c r="PHO4" s="16"/>
      <c r="PHP4" s="16"/>
      <c r="PHR4" s="297"/>
      <c r="PHS4" s="298"/>
      <c r="PHT4" s="298"/>
      <c r="PHU4" s="297"/>
      <c r="PHV4" s="297"/>
      <c r="PHW4" s="297"/>
      <c r="PHX4" s="298"/>
      <c r="PHY4" s="299"/>
      <c r="PHZ4" s="297"/>
      <c r="PIA4" s="297"/>
      <c r="PIB4" s="299"/>
      <c r="PIC4" s="299"/>
      <c r="PID4" s="297"/>
      <c r="PIE4" s="297"/>
      <c r="PIF4" s="299"/>
      <c r="PIG4" s="299"/>
      <c r="PIH4" s="297"/>
      <c r="PII4" s="297"/>
      <c r="PIJ4" s="297"/>
      <c r="PIK4" s="16"/>
      <c r="PIL4" s="16"/>
      <c r="PIM4" s="16"/>
      <c r="PIN4" s="16"/>
      <c r="PIP4" s="297"/>
      <c r="PIQ4" s="298"/>
      <c r="PIR4" s="298"/>
      <c r="PIS4" s="297"/>
      <c r="PIT4" s="297"/>
      <c r="PIU4" s="297"/>
      <c r="PIV4" s="298"/>
      <c r="PIW4" s="299"/>
      <c r="PIX4" s="297"/>
      <c r="PIY4" s="297"/>
      <c r="PIZ4" s="299"/>
      <c r="PJA4" s="299"/>
      <c r="PJB4" s="297"/>
      <c r="PJC4" s="297"/>
      <c r="PJD4" s="299"/>
      <c r="PJE4" s="299"/>
      <c r="PJF4" s="297"/>
      <c r="PJG4" s="297"/>
      <c r="PJH4" s="297"/>
      <c r="PJI4" s="16"/>
      <c r="PJJ4" s="16"/>
      <c r="PJK4" s="16"/>
      <c r="PJL4" s="16"/>
      <c r="PJN4" s="297"/>
      <c r="PJO4" s="298"/>
      <c r="PJP4" s="298"/>
      <c r="PJQ4" s="297"/>
      <c r="PJR4" s="297"/>
      <c r="PJS4" s="297"/>
      <c r="PJT4" s="298"/>
      <c r="PJU4" s="299"/>
      <c r="PJV4" s="297"/>
      <c r="PJW4" s="297"/>
      <c r="PJX4" s="299"/>
      <c r="PJY4" s="299"/>
      <c r="PJZ4" s="297"/>
      <c r="PKA4" s="297"/>
      <c r="PKB4" s="299"/>
      <c r="PKC4" s="299"/>
      <c r="PKD4" s="297"/>
      <c r="PKE4" s="297"/>
      <c r="PKF4" s="297"/>
      <c r="PKG4" s="16"/>
      <c r="PKH4" s="16"/>
      <c r="PKI4" s="16"/>
      <c r="PKJ4" s="16"/>
      <c r="PKL4" s="297"/>
      <c r="PKM4" s="298"/>
      <c r="PKN4" s="298"/>
      <c r="PKO4" s="297"/>
      <c r="PKP4" s="297"/>
      <c r="PKQ4" s="297"/>
      <c r="PKR4" s="298"/>
      <c r="PKS4" s="299"/>
      <c r="PKT4" s="297"/>
      <c r="PKU4" s="297"/>
      <c r="PKV4" s="299"/>
      <c r="PKW4" s="299"/>
      <c r="PKX4" s="297"/>
      <c r="PKY4" s="297"/>
      <c r="PKZ4" s="299"/>
      <c r="PLA4" s="299"/>
      <c r="PLB4" s="297"/>
      <c r="PLC4" s="297"/>
      <c r="PLD4" s="297"/>
      <c r="PLE4" s="16"/>
      <c r="PLF4" s="16"/>
      <c r="PLG4" s="16"/>
      <c r="PLH4" s="16"/>
      <c r="PLJ4" s="297"/>
      <c r="PLK4" s="298"/>
      <c r="PLL4" s="298"/>
      <c r="PLM4" s="297"/>
      <c r="PLN4" s="297"/>
      <c r="PLO4" s="297"/>
      <c r="PLP4" s="298"/>
      <c r="PLQ4" s="299"/>
      <c r="PLR4" s="297"/>
      <c r="PLS4" s="297"/>
      <c r="PLT4" s="299"/>
      <c r="PLU4" s="299"/>
      <c r="PLV4" s="297"/>
      <c r="PLW4" s="297"/>
      <c r="PLX4" s="299"/>
      <c r="PLY4" s="299"/>
      <c r="PLZ4" s="297"/>
      <c r="PMA4" s="297"/>
      <c r="PMB4" s="297"/>
      <c r="PMC4" s="16"/>
      <c r="PMD4" s="16"/>
      <c r="PME4" s="16"/>
      <c r="PMF4" s="16"/>
      <c r="PMH4" s="297"/>
      <c r="PMI4" s="298"/>
      <c r="PMJ4" s="298"/>
      <c r="PMK4" s="297"/>
      <c r="PML4" s="297"/>
      <c r="PMM4" s="297"/>
      <c r="PMN4" s="298"/>
      <c r="PMO4" s="299"/>
      <c r="PMP4" s="297"/>
      <c r="PMQ4" s="297"/>
      <c r="PMR4" s="299"/>
      <c r="PMS4" s="299"/>
      <c r="PMT4" s="297"/>
      <c r="PMU4" s="297"/>
      <c r="PMV4" s="299"/>
      <c r="PMW4" s="299"/>
      <c r="PMX4" s="297"/>
      <c r="PMY4" s="297"/>
      <c r="PMZ4" s="297"/>
      <c r="PNA4" s="16"/>
      <c r="PNB4" s="16"/>
      <c r="PNC4" s="16"/>
      <c r="PND4" s="16"/>
      <c r="PNF4" s="297"/>
      <c r="PNG4" s="298"/>
      <c r="PNH4" s="298"/>
      <c r="PNI4" s="297"/>
      <c r="PNJ4" s="297"/>
      <c r="PNK4" s="297"/>
      <c r="PNL4" s="298"/>
      <c r="PNM4" s="299"/>
      <c r="PNN4" s="297"/>
      <c r="PNO4" s="297"/>
      <c r="PNP4" s="299"/>
      <c r="PNQ4" s="299"/>
      <c r="PNR4" s="297"/>
      <c r="PNS4" s="297"/>
      <c r="PNT4" s="299"/>
      <c r="PNU4" s="299"/>
      <c r="PNV4" s="297"/>
      <c r="PNW4" s="297"/>
      <c r="PNX4" s="297"/>
      <c r="PNY4" s="16"/>
      <c r="PNZ4" s="16"/>
      <c r="POA4" s="16"/>
      <c r="POB4" s="16"/>
      <c r="POD4" s="297"/>
      <c r="POE4" s="298"/>
      <c r="POF4" s="298"/>
      <c r="POG4" s="297"/>
      <c r="POH4" s="297"/>
      <c r="POI4" s="297"/>
      <c r="POJ4" s="298"/>
      <c r="POK4" s="299"/>
      <c r="POL4" s="297"/>
      <c r="POM4" s="297"/>
      <c r="PON4" s="299"/>
      <c r="POO4" s="299"/>
      <c r="POP4" s="297"/>
      <c r="POQ4" s="297"/>
      <c r="POR4" s="299"/>
      <c r="POS4" s="299"/>
      <c r="POT4" s="297"/>
      <c r="POU4" s="297"/>
      <c r="POV4" s="297"/>
      <c r="POW4" s="16"/>
      <c r="POX4" s="16"/>
      <c r="POY4" s="16"/>
      <c r="POZ4" s="16"/>
      <c r="PPB4" s="297"/>
      <c r="PPC4" s="298"/>
      <c r="PPD4" s="298"/>
      <c r="PPE4" s="297"/>
      <c r="PPF4" s="297"/>
      <c r="PPG4" s="297"/>
      <c r="PPH4" s="298"/>
      <c r="PPI4" s="299"/>
      <c r="PPJ4" s="297"/>
      <c r="PPK4" s="297"/>
      <c r="PPL4" s="299"/>
      <c r="PPM4" s="299"/>
      <c r="PPN4" s="297"/>
      <c r="PPO4" s="297"/>
      <c r="PPP4" s="299"/>
      <c r="PPQ4" s="299"/>
      <c r="PPR4" s="297"/>
      <c r="PPS4" s="297"/>
      <c r="PPT4" s="297"/>
      <c r="PPU4" s="16"/>
      <c r="PPV4" s="16"/>
      <c r="PPW4" s="16"/>
      <c r="PPX4" s="16"/>
      <c r="PPZ4" s="297"/>
      <c r="PQA4" s="298"/>
      <c r="PQB4" s="298"/>
      <c r="PQC4" s="297"/>
      <c r="PQD4" s="297"/>
      <c r="PQE4" s="297"/>
      <c r="PQF4" s="298"/>
      <c r="PQG4" s="299"/>
      <c r="PQH4" s="297"/>
      <c r="PQI4" s="297"/>
      <c r="PQJ4" s="299"/>
      <c r="PQK4" s="299"/>
      <c r="PQL4" s="297"/>
      <c r="PQM4" s="297"/>
      <c r="PQN4" s="299"/>
      <c r="PQO4" s="299"/>
      <c r="PQP4" s="297"/>
      <c r="PQQ4" s="297"/>
      <c r="PQR4" s="297"/>
      <c r="PQS4" s="16"/>
      <c r="PQT4" s="16"/>
      <c r="PQU4" s="16"/>
      <c r="PQV4" s="16"/>
      <c r="PQX4" s="297"/>
      <c r="PQY4" s="298"/>
      <c r="PQZ4" s="298"/>
      <c r="PRA4" s="297"/>
      <c r="PRB4" s="297"/>
      <c r="PRC4" s="297"/>
      <c r="PRD4" s="298"/>
      <c r="PRE4" s="299"/>
      <c r="PRF4" s="297"/>
      <c r="PRG4" s="297"/>
      <c r="PRH4" s="299"/>
      <c r="PRI4" s="299"/>
      <c r="PRJ4" s="297"/>
      <c r="PRK4" s="297"/>
      <c r="PRL4" s="299"/>
      <c r="PRM4" s="299"/>
      <c r="PRN4" s="297"/>
      <c r="PRO4" s="297"/>
      <c r="PRP4" s="297"/>
      <c r="PRQ4" s="16"/>
      <c r="PRR4" s="16"/>
      <c r="PRS4" s="16"/>
      <c r="PRT4" s="16"/>
      <c r="PRV4" s="297"/>
      <c r="PRW4" s="298"/>
      <c r="PRX4" s="298"/>
      <c r="PRY4" s="297"/>
      <c r="PRZ4" s="297"/>
      <c r="PSA4" s="297"/>
      <c r="PSB4" s="298"/>
      <c r="PSC4" s="299"/>
      <c r="PSD4" s="297"/>
      <c r="PSE4" s="297"/>
      <c r="PSF4" s="299"/>
      <c r="PSG4" s="299"/>
      <c r="PSH4" s="297"/>
      <c r="PSI4" s="297"/>
      <c r="PSJ4" s="299"/>
      <c r="PSK4" s="299"/>
      <c r="PSL4" s="297"/>
      <c r="PSM4" s="297"/>
      <c r="PSN4" s="297"/>
      <c r="PSO4" s="16"/>
      <c r="PSP4" s="16"/>
      <c r="PSQ4" s="16"/>
      <c r="PSR4" s="16"/>
      <c r="PST4" s="297"/>
      <c r="PSU4" s="298"/>
      <c r="PSV4" s="298"/>
      <c r="PSW4" s="297"/>
      <c r="PSX4" s="297"/>
      <c r="PSY4" s="297"/>
      <c r="PSZ4" s="298"/>
      <c r="PTA4" s="299"/>
      <c r="PTB4" s="297"/>
      <c r="PTC4" s="297"/>
      <c r="PTD4" s="299"/>
      <c r="PTE4" s="299"/>
      <c r="PTF4" s="297"/>
      <c r="PTG4" s="297"/>
      <c r="PTH4" s="299"/>
      <c r="PTI4" s="299"/>
      <c r="PTJ4" s="297"/>
      <c r="PTK4" s="297"/>
      <c r="PTL4" s="297"/>
      <c r="PTM4" s="16"/>
      <c r="PTN4" s="16"/>
      <c r="PTO4" s="16"/>
      <c r="PTP4" s="16"/>
      <c r="PTR4" s="297"/>
      <c r="PTS4" s="298"/>
      <c r="PTT4" s="298"/>
      <c r="PTU4" s="297"/>
      <c r="PTV4" s="297"/>
      <c r="PTW4" s="297"/>
      <c r="PTX4" s="298"/>
      <c r="PTY4" s="299"/>
      <c r="PTZ4" s="297"/>
      <c r="PUA4" s="297"/>
      <c r="PUB4" s="299"/>
      <c r="PUC4" s="299"/>
      <c r="PUD4" s="297"/>
      <c r="PUE4" s="297"/>
      <c r="PUF4" s="299"/>
      <c r="PUG4" s="299"/>
      <c r="PUH4" s="297"/>
      <c r="PUI4" s="297"/>
      <c r="PUJ4" s="297"/>
      <c r="PUK4" s="16"/>
      <c r="PUL4" s="16"/>
      <c r="PUM4" s="16"/>
      <c r="PUN4" s="16"/>
      <c r="PUP4" s="297"/>
      <c r="PUQ4" s="298"/>
      <c r="PUR4" s="298"/>
      <c r="PUS4" s="297"/>
      <c r="PUT4" s="297"/>
      <c r="PUU4" s="297"/>
      <c r="PUV4" s="298"/>
      <c r="PUW4" s="299"/>
      <c r="PUX4" s="297"/>
      <c r="PUY4" s="297"/>
      <c r="PUZ4" s="299"/>
      <c r="PVA4" s="299"/>
      <c r="PVB4" s="297"/>
      <c r="PVC4" s="297"/>
      <c r="PVD4" s="299"/>
      <c r="PVE4" s="299"/>
      <c r="PVF4" s="297"/>
      <c r="PVG4" s="297"/>
      <c r="PVH4" s="297"/>
      <c r="PVI4" s="16"/>
      <c r="PVJ4" s="16"/>
      <c r="PVK4" s="16"/>
      <c r="PVL4" s="16"/>
      <c r="PVN4" s="297"/>
      <c r="PVO4" s="298"/>
      <c r="PVP4" s="298"/>
      <c r="PVQ4" s="297"/>
      <c r="PVR4" s="297"/>
      <c r="PVS4" s="297"/>
      <c r="PVT4" s="298"/>
      <c r="PVU4" s="299"/>
      <c r="PVV4" s="297"/>
      <c r="PVW4" s="297"/>
      <c r="PVX4" s="299"/>
      <c r="PVY4" s="299"/>
      <c r="PVZ4" s="297"/>
      <c r="PWA4" s="297"/>
      <c r="PWB4" s="299"/>
      <c r="PWC4" s="299"/>
      <c r="PWD4" s="297"/>
      <c r="PWE4" s="297"/>
      <c r="PWF4" s="297"/>
      <c r="PWG4" s="16"/>
      <c r="PWH4" s="16"/>
      <c r="PWI4" s="16"/>
      <c r="PWJ4" s="16"/>
      <c r="PWL4" s="297"/>
      <c r="PWM4" s="298"/>
      <c r="PWN4" s="298"/>
      <c r="PWO4" s="297"/>
      <c r="PWP4" s="297"/>
      <c r="PWQ4" s="297"/>
      <c r="PWR4" s="298"/>
      <c r="PWS4" s="299"/>
      <c r="PWT4" s="297"/>
      <c r="PWU4" s="297"/>
      <c r="PWV4" s="299"/>
      <c r="PWW4" s="299"/>
      <c r="PWX4" s="297"/>
      <c r="PWY4" s="297"/>
      <c r="PWZ4" s="299"/>
      <c r="PXA4" s="299"/>
      <c r="PXB4" s="297"/>
      <c r="PXC4" s="297"/>
      <c r="PXD4" s="297"/>
      <c r="PXE4" s="16"/>
      <c r="PXF4" s="16"/>
      <c r="PXG4" s="16"/>
      <c r="PXH4" s="16"/>
      <c r="PXJ4" s="297"/>
      <c r="PXK4" s="298"/>
      <c r="PXL4" s="298"/>
      <c r="PXM4" s="297"/>
      <c r="PXN4" s="297"/>
      <c r="PXO4" s="297"/>
      <c r="PXP4" s="298"/>
      <c r="PXQ4" s="299"/>
      <c r="PXR4" s="297"/>
      <c r="PXS4" s="297"/>
      <c r="PXT4" s="299"/>
      <c r="PXU4" s="299"/>
      <c r="PXV4" s="297"/>
      <c r="PXW4" s="297"/>
      <c r="PXX4" s="299"/>
      <c r="PXY4" s="299"/>
      <c r="PXZ4" s="297"/>
      <c r="PYA4" s="297"/>
      <c r="PYB4" s="297"/>
      <c r="PYC4" s="16"/>
      <c r="PYD4" s="16"/>
      <c r="PYE4" s="16"/>
      <c r="PYF4" s="16"/>
      <c r="PYH4" s="297"/>
      <c r="PYI4" s="298"/>
      <c r="PYJ4" s="298"/>
      <c r="PYK4" s="297"/>
      <c r="PYL4" s="297"/>
      <c r="PYM4" s="297"/>
      <c r="PYN4" s="298"/>
      <c r="PYO4" s="299"/>
      <c r="PYP4" s="297"/>
      <c r="PYQ4" s="297"/>
      <c r="PYR4" s="299"/>
      <c r="PYS4" s="299"/>
      <c r="PYT4" s="297"/>
      <c r="PYU4" s="297"/>
      <c r="PYV4" s="299"/>
      <c r="PYW4" s="299"/>
      <c r="PYX4" s="297"/>
      <c r="PYY4" s="297"/>
      <c r="PYZ4" s="297"/>
      <c r="PZA4" s="16"/>
      <c r="PZB4" s="16"/>
      <c r="PZC4" s="16"/>
      <c r="PZD4" s="16"/>
      <c r="PZF4" s="297"/>
      <c r="PZG4" s="298"/>
      <c r="PZH4" s="298"/>
      <c r="PZI4" s="297"/>
      <c r="PZJ4" s="297"/>
      <c r="PZK4" s="297"/>
      <c r="PZL4" s="298"/>
      <c r="PZM4" s="299"/>
      <c r="PZN4" s="297"/>
      <c r="PZO4" s="297"/>
      <c r="PZP4" s="299"/>
      <c r="PZQ4" s="299"/>
      <c r="PZR4" s="297"/>
      <c r="PZS4" s="297"/>
      <c r="PZT4" s="299"/>
      <c r="PZU4" s="299"/>
      <c r="PZV4" s="297"/>
      <c r="PZW4" s="297"/>
      <c r="PZX4" s="297"/>
      <c r="PZY4" s="16"/>
      <c r="PZZ4" s="16"/>
      <c r="QAA4" s="16"/>
      <c r="QAB4" s="16"/>
      <c r="QAD4" s="297"/>
      <c r="QAE4" s="298"/>
      <c r="QAF4" s="298"/>
      <c r="QAG4" s="297"/>
      <c r="QAH4" s="297"/>
      <c r="QAI4" s="297"/>
      <c r="QAJ4" s="298"/>
      <c r="QAK4" s="299"/>
      <c r="QAL4" s="297"/>
      <c r="QAM4" s="297"/>
      <c r="QAN4" s="299"/>
      <c r="QAO4" s="299"/>
      <c r="QAP4" s="297"/>
      <c r="QAQ4" s="297"/>
      <c r="QAR4" s="299"/>
      <c r="QAS4" s="299"/>
      <c r="QAT4" s="297"/>
      <c r="QAU4" s="297"/>
      <c r="QAV4" s="297"/>
      <c r="QAW4" s="16"/>
      <c r="QAX4" s="16"/>
      <c r="QAY4" s="16"/>
      <c r="QAZ4" s="16"/>
      <c r="QBB4" s="297"/>
      <c r="QBC4" s="298"/>
      <c r="QBD4" s="298"/>
      <c r="QBE4" s="297"/>
      <c r="QBF4" s="297"/>
      <c r="QBG4" s="297"/>
      <c r="QBH4" s="298"/>
      <c r="QBI4" s="299"/>
      <c r="QBJ4" s="297"/>
      <c r="QBK4" s="297"/>
      <c r="QBL4" s="299"/>
      <c r="QBM4" s="299"/>
      <c r="QBN4" s="297"/>
      <c r="QBO4" s="297"/>
      <c r="QBP4" s="299"/>
      <c r="QBQ4" s="299"/>
      <c r="QBR4" s="297"/>
      <c r="QBS4" s="297"/>
      <c r="QBT4" s="297"/>
      <c r="QBU4" s="16"/>
      <c r="QBV4" s="16"/>
      <c r="QBW4" s="16"/>
      <c r="QBX4" s="16"/>
      <c r="QBZ4" s="297"/>
      <c r="QCA4" s="298"/>
      <c r="QCB4" s="298"/>
      <c r="QCC4" s="297"/>
      <c r="QCD4" s="297"/>
      <c r="QCE4" s="297"/>
      <c r="QCF4" s="298"/>
      <c r="QCG4" s="299"/>
      <c r="QCH4" s="297"/>
      <c r="QCI4" s="297"/>
      <c r="QCJ4" s="299"/>
      <c r="QCK4" s="299"/>
      <c r="QCL4" s="297"/>
      <c r="QCM4" s="297"/>
      <c r="QCN4" s="299"/>
      <c r="QCO4" s="299"/>
      <c r="QCP4" s="297"/>
      <c r="QCQ4" s="297"/>
      <c r="QCR4" s="297"/>
      <c r="QCS4" s="16"/>
      <c r="QCT4" s="16"/>
      <c r="QCU4" s="16"/>
      <c r="QCV4" s="16"/>
      <c r="QCX4" s="297"/>
      <c r="QCY4" s="298"/>
      <c r="QCZ4" s="298"/>
      <c r="QDA4" s="297"/>
      <c r="QDB4" s="297"/>
      <c r="QDC4" s="297"/>
      <c r="QDD4" s="298"/>
      <c r="QDE4" s="299"/>
      <c r="QDF4" s="297"/>
      <c r="QDG4" s="297"/>
      <c r="QDH4" s="299"/>
      <c r="QDI4" s="299"/>
      <c r="QDJ4" s="297"/>
      <c r="QDK4" s="297"/>
      <c r="QDL4" s="299"/>
      <c r="QDM4" s="299"/>
      <c r="QDN4" s="297"/>
      <c r="QDO4" s="297"/>
      <c r="QDP4" s="297"/>
      <c r="QDQ4" s="16"/>
      <c r="QDR4" s="16"/>
      <c r="QDS4" s="16"/>
      <c r="QDT4" s="16"/>
      <c r="QDV4" s="297"/>
      <c r="QDW4" s="298"/>
      <c r="QDX4" s="298"/>
      <c r="QDY4" s="297"/>
      <c r="QDZ4" s="297"/>
      <c r="QEA4" s="297"/>
      <c r="QEB4" s="298"/>
      <c r="QEC4" s="299"/>
      <c r="QED4" s="297"/>
      <c r="QEE4" s="297"/>
      <c r="QEF4" s="299"/>
      <c r="QEG4" s="299"/>
      <c r="QEH4" s="297"/>
      <c r="QEI4" s="297"/>
      <c r="QEJ4" s="299"/>
      <c r="QEK4" s="299"/>
      <c r="QEL4" s="297"/>
      <c r="QEM4" s="297"/>
      <c r="QEN4" s="297"/>
      <c r="QEO4" s="16"/>
      <c r="QEP4" s="16"/>
      <c r="QEQ4" s="16"/>
      <c r="QER4" s="16"/>
      <c r="QET4" s="297"/>
      <c r="QEU4" s="298"/>
      <c r="QEV4" s="298"/>
      <c r="QEW4" s="297"/>
      <c r="QEX4" s="297"/>
      <c r="QEY4" s="297"/>
      <c r="QEZ4" s="298"/>
      <c r="QFA4" s="299"/>
      <c r="QFB4" s="297"/>
      <c r="QFC4" s="297"/>
      <c r="QFD4" s="299"/>
      <c r="QFE4" s="299"/>
      <c r="QFF4" s="297"/>
      <c r="QFG4" s="297"/>
      <c r="QFH4" s="299"/>
      <c r="QFI4" s="299"/>
      <c r="QFJ4" s="297"/>
      <c r="QFK4" s="297"/>
      <c r="QFL4" s="297"/>
      <c r="QFM4" s="16"/>
      <c r="QFN4" s="16"/>
      <c r="QFO4" s="16"/>
      <c r="QFP4" s="16"/>
      <c r="QFR4" s="297"/>
      <c r="QFS4" s="298"/>
      <c r="QFT4" s="298"/>
      <c r="QFU4" s="297"/>
      <c r="QFV4" s="297"/>
      <c r="QFW4" s="297"/>
      <c r="QFX4" s="298"/>
      <c r="QFY4" s="299"/>
      <c r="QFZ4" s="297"/>
      <c r="QGA4" s="297"/>
      <c r="QGB4" s="299"/>
      <c r="QGC4" s="299"/>
      <c r="QGD4" s="297"/>
      <c r="QGE4" s="297"/>
      <c r="QGF4" s="299"/>
      <c r="QGG4" s="299"/>
      <c r="QGH4" s="297"/>
      <c r="QGI4" s="297"/>
      <c r="QGJ4" s="297"/>
      <c r="QGK4" s="16"/>
      <c r="QGL4" s="16"/>
      <c r="QGM4" s="16"/>
      <c r="QGN4" s="16"/>
      <c r="QGP4" s="297"/>
      <c r="QGQ4" s="298"/>
      <c r="QGR4" s="298"/>
      <c r="QGS4" s="297"/>
      <c r="QGT4" s="297"/>
      <c r="QGU4" s="297"/>
      <c r="QGV4" s="298"/>
      <c r="QGW4" s="299"/>
      <c r="QGX4" s="297"/>
      <c r="QGY4" s="297"/>
      <c r="QGZ4" s="299"/>
      <c r="QHA4" s="299"/>
      <c r="QHB4" s="297"/>
      <c r="QHC4" s="297"/>
      <c r="QHD4" s="299"/>
      <c r="QHE4" s="299"/>
      <c r="QHF4" s="297"/>
      <c r="QHG4" s="297"/>
      <c r="QHH4" s="297"/>
      <c r="QHI4" s="16"/>
      <c r="QHJ4" s="16"/>
      <c r="QHK4" s="16"/>
      <c r="QHL4" s="16"/>
      <c r="QHN4" s="297"/>
      <c r="QHO4" s="298"/>
      <c r="QHP4" s="298"/>
      <c r="QHQ4" s="297"/>
      <c r="QHR4" s="297"/>
      <c r="QHS4" s="297"/>
      <c r="QHT4" s="298"/>
      <c r="QHU4" s="299"/>
      <c r="QHV4" s="297"/>
      <c r="QHW4" s="297"/>
      <c r="QHX4" s="299"/>
      <c r="QHY4" s="299"/>
      <c r="QHZ4" s="297"/>
      <c r="QIA4" s="297"/>
      <c r="QIB4" s="299"/>
      <c r="QIC4" s="299"/>
      <c r="QID4" s="297"/>
      <c r="QIE4" s="297"/>
      <c r="QIF4" s="297"/>
      <c r="QIG4" s="16"/>
      <c r="QIH4" s="16"/>
      <c r="QII4" s="16"/>
      <c r="QIJ4" s="16"/>
      <c r="QIL4" s="297"/>
      <c r="QIM4" s="298"/>
      <c r="QIN4" s="298"/>
      <c r="QIO4" s="297"/>
      <c r="QIP4" s="297"/>
      <c r="QIQ4" s="297"/>
      <c r="QIR4" s="298"/>
      <c r="QIS4" s="299"/>
      <c r="QIT4" s="297"/>
      <c r="QIU4" s="297"/>
      <c r="QIV4" s="299"/>
      <c r="QIW4" s="299"/>
      <c r="QIX4" s="297"/>
      <c r="QIY4" s="297"/>
      <c r="QIZ4" s="299"/>
      <c r="QJA4" s="299"/>
      <c r="QJB4" s="297"/>
      <c r="QJC4" s="297"/>
      <c r="QJD4" s="297"/>
      <c r="QJE4" s="16"/>
      <c r="QJF4" s="16"/>
      <c r="QJG4" s="16"/>
      <c r="QJH4" s="16"/>
      <c r="QJJ4" s="297"/>
      <c r="QJK4" s="298"/>
      <c r="QJL4" s="298"/>
      <c r="QJM4" s="297"/>
      <c r="QJN4" s="297"/>
      <c r="QJO4" s="297"/>
      <c r="QJP4" s="298"/>
      <c r="QJQ4" s="299"/>
      <c r="QJR4" s="297"/>
      <c r="QJS4" s="297"/>
      <c r="QJT4" s="299"/>
      <c r="QJU4" s="299"/>
      <c r="QJV4" s="297"/>
      <c r="QJW4" s="297"/>
      <c r="QJX4" s="299"/>
      <c r="QJY4" s="299"/>
      <c r="QJZ4" s="297"/>
      <c r="QKA4" s="297"/>
      <c r="QKB4" s="297"/>
      <c r="QKC4" s="16"/>
      <c r="QKD4" s="16"/>
      <c r="QKE4" s="16"/>
      <c r="QKF4" s="16"/>
      <c r="QKH4" s="297"/>
      <c r="QKI4" s="298"/>
      <c r="QKJ4" s="298"/>
      <c r="QKK4" s="297"/>
      <c r="QKL4" s="297"/>
      <c r="QKM4" s="297"/>
      <c r="QKN4" s="298"/>
      <c r="QKO4" s="299"/>
      <c r="QKP4" s="297"/>
      <c r="QKQ4" s="297"/>
      <c r="QKR4" s="299"/>
      <c r="QKS4" s="299"/>
      <c r="QKT4" s="297"/>
      <c r="QKU4" s="297"/>
      <c r="QKV4" s="299"/>
      <c r="QKW4" s="299"/>
      <c r="QKX4" s="297"/>
      <c r="QKY4" s="297"/>
      <c r="QKZ4" s="297"/>
      <c r="QLA4" s="16"/>
      <c r="QLB4" s="16"/>
      <c r="QLC4" s="16"/>
      <c r="QLD4" s="16"/>
      <c r="QLF4" s="297"/>
      <c r="QLG4" s="298"/>
      <c r="QLH4" s="298"/>
      <c r="QLI4" s="297"/>
      <c r="QLJ4" s="297"/>
      <c r="QLK4" s="297"/>
      <c r="QLL4" s="298"/>
      <c r="QLM4" s="299"/>
      <c r="QLN4" s="297"/>
      <c r="QLO4" s="297"/>
      <c r="QLP4" s="299"/>
      <c r="QLQ4" s="299"/>
      <c r="QLR4" s="297"/>
      <c r="QLS4" s="297"/>
      <c r="QLT4" s="299"/>
      <c r="QLU4" s="299"/>
      <c r="QLV4" s="297"/>
      <c r="QLW4" s="297"/>
      <c r="QLX4" s="297"/>
      <c r="QLY4" s="16"/>
      <c r="QLZ4" s="16"/>
      <c r="QMA4" s="16"/>
      <c r="QMB4" s="16"/>
      <c r="QMD4" s="297"/>
      <c r="QME4" s="298"/>
      <c r="QMF4" s="298"/>
      <c r="QMG4" s="297"/>
      <c r="QMH4" s="297"/>
      <c r="QMI4" s="297"/>
      <c r="QMJ4" s="298"/>
      <c r="QMK4" s="299"/>
      <c r="QML4" s="297"/>
      <c r="QMM4" s="297"/>
      <c r="QMN4" s="299"/>
      <c r="QMO4" s="299"/>
      <c r="QMP4" s="297"/>
      <c r="QMQ4" s="297"/>
      <c r="QMR4" s="299"/>
      <c r="QMS4" s="299"/>
      <c r="QMT4" s="297"/>
      <c r="QMU4" s="297"/>
      <c r="QMV4" s="297"/>
      <c r="QMW4" s="16"/>
      <c r="QMX4" s="16"/>
      <c r="QMY4" s="16"/>
      <c r="QMZ4" s="16"/>
      <c r="QNB4" s="297"/>
      <c r="QNC4" s="298"/>
      <c r="QND4" s="298"/>
      <c r="QNE4" s="297"/>
      <c r="QNF4" s="297"/>
      <c r="QNG4" s="297"/>
      <c r="QNH4" s="298"/>
      <c r="QNI4" s="299"/>
      <c r="QNJ4" s="297"/>
      <c r="QNK4" s="297"/>
      <c r="QNL4" s="299"/>
      <c r="QNM4" s="299"/>
      <c r="QNN4" s="297"/>
      <c r="QNO4" s="297"/>
      <c r="QNP4" s="299"/>
      <c r="QNQ4" s="299"/>
      <c r="QNR4" s="297"/>
      <c r="QNS4" s="297"/>
      <c r="QNT4" s="297"/>
      <c r="QNU4" s="16"/>
      <c r="QNV4" s="16"/>
      <c r="QNW4" s="16"/>
      <c r="QNX4" s="16"/>
      <c r="QNZ4" s="297"/>
      <c r="QOA4" s="298"/>
      <c r="QOB4" s="298"/>
      <c r="QOC4" s="297"/>
      <c r="QOD4" s="297"/>
      <c r="QOE4" s="297"/>
      <c r="QOF4" s="298"/>
      <c r="QOG4" s="299"/>
      <c r="QOH4" s="297"/>
      <c r="QOI4" s="297"/>
      <c r="QOJ4" s="299"/>
      <c r="QOK4" s="299"/>
      <c r="QOL4" s="297"/>
      <c r="QOM4" s="297"/>
      <c r="QON4" s="299"/>
      <c r="QOO4" s="299"/>
      <c r="QOP4" s="297"/>
      <c r="QOQ4" s="297"/>
      <c r="QOR4" s="297"/>
      <c r="QOS4" s="16"/>
      <c r="QOT4" s="16"/>
      <c r="QOU4" s="16"/>
      <c r="QOV4" s="16"/>
      <c r="QOX4" s="297"/>
      <c r="QOY4" s="298"/>
      <c r="QOZ4" s="298"/>
      <c r="QPA4" s="297"/>
      <c r="QPB4" s="297"/>
      <c r="QPC4" s="297"/>
      <c r="QPD4" s="298"/>
      <c r="QPE4" s="299"/>
      <c r="QPF4" s="297"/>
      <c r="QPG4" s="297"/>
      <c r="QPH4" s="299"/>
      <c r="QPI4" s="299"/>
      <c r="QPJ4" s="297"/>
      <c r="QPK4" s="297"/>
      <c r="QPL4" s="299"/>
      <c r="QPM4" s="299"/>
      <c r="QPN4" s="297"/>
      <c r="QPO4" s="297"/>
      <c r="QPP4" s="297"/>
      <c r="QPQ4" s="16"/>
      <c r="QPR4" s="16"/>
      <c r="QPS4" s="16"/>
      <c r="QPT4" s="16"/>
      <c r="QPV4" s="297"/>
      <c r="QPW4" s="298"/>
      <c r="QPX4" s="298"/>
      <c r="QPY4" s="297"/>
      <c r="QPZ4" s="297"/>
      <c r="QQA4" s="297"/>
      <c r="QQB4" s="298"/>
      <c r="QQC4" s="299"/>
      <c r="QQD4" s="297"/>
      <c r="QQE4" s="297"/>
      <c r="QQF4" s="299"/>
      <c r="QQG4" s="299"/>
      <c r="QQH4" s="297"/>
      <c r="QQI4" s="297"/>
      <c r="QQJ4" s="299"/>
      <c r="QQK4" s="299"/>
      <c r="QQL4" s="297"/>
      <c r="QQM4" s="297"/>
      <c r="QQN4" s="297"/>
      <c r="QQO4" s="16"/>
      <c r="QQP4" s="16"/>
      <c r="QQQ4" s="16"/>
      <c r="QQR4" s="16"/>
      <c r="QQT4" s="297"/>
      <c r="QQU4" s="298"/>
      <c r="QQV4" s="298"/>
      <c r="QQW4" s="297"/>
      <c r="QQX4" s="297"/>
      <c r="QQY4" s="297"/>
      <c r="QQZ4" s="298"/>
      <c r="QRA4" s="299"/>
      <c r="QRB4" s="297"/>
      <c r="QRC4" s="297"/>
      <c r="QRD4" s="299"/>
      <c r="QRE4" s="299"/>
      <c r="QRF4" s="297"/>
      <c r="QRG4" s="297"/>
      <c r="QRH4" s="299"/>
      <c r="QRI4" s="299"/>
      <c r="QRJ4" s="297"/>
      <c r="QRK4" s="297"/>
      <c r="QRL4" s="297"/>
      <c r="QRM4" s="16"/>
      <c r="QRN4" s="16"/>
      <c r="QRO4" s="16"/>
      <c r="QRP4" s="16"/>
      <c r="QRR4" s="297"/>
      <c r="QRS4" s="298"/>
      <c r="QRT4" s="298"/>
      <c r="QRU4" s="297"/>
      <c r="QRV4" s="297"/>
      <c r="QRW4" s="297"/>
      <c r="QRX4" s="298"/>
      <c r="QRY4" s="299"/>
      <c r="QRZ4" s="297"/>
      <c r="QSA4" s="297"/>
      <c r="QSB4" s="299"/>
      <c r="QSC4" s="299"/>
      <c r="QSD4" s="297"/>
      <c r="QSE4" s="297"/>
      <c r="QSF4" s="299"/>
      <c r="QSG4" s="299"/>
      <c r="QSH4" s="297"/>
      <c r="QSI4" s="297"/>
      <c r="QSJ4" s="297"/>
      <c r="QSK4" s="16"/>
      <c r="QSL4" s="16"/>
      <c r="QSM4" s="16"/>
      <c r="QSN4" s="16"/>
      <c r="QSP4" s="297"/>
      <c r="QSQ4" s="298"/>
      <c r="QSR4" s="298"/>
      <c r="QSS4" s="297"/>
      <c r="QST4" s="297"/>
      <c r="QSU4" s="297"/>
      <c r="QSV4" s="298"/>
      <c r="QSW4" s="299"/>
      <c r="QSX4" s="297"/>
      <c r="QSY4" s="297"/>
      <c r="QSZ4" s="299"/>
      <c r="QTA4" s="299"/>
      <c r="QTB4" s="297"/>
      <c r="QTC4" s="297"/>
      <c r="QTD4" s="299"/>
      <c r="QTE4" s="299"/>
      <c r="QTF4" s="297"/>
      <c r="QTG4" s="297"/>
      <c r="QTH4" s="297"/>
      <c r="QTI4" s="16"/>
      <c r="QTJ4" s="16"/>
      <c r="QTK4" s="16"/>
      <c r="QTL4" s="16"/>
      <c r="QTN4" s="297"/>
      <c r="QTO4" s="298"/>
      <c r="QTP4" s="298"/>
      <c r="QTQ4" s="297"/>
      <c r="QTR4" s="297"/>
      <c r="QTS4" s="297"/>
      <c r="QTT4" s="298"/>
      <c r="QTU4" s="299"/>
      <c r="QTV4" s="297"/>
      <c r="QTW4" s="297"/>
      <c r="QTX4" s="299"/>
      <c r="QTY4" s="299"/>
      <c r="QTZ4" s="297"/>
      <c r="QUA4" s="297"/>
      <c r="QUB4" s="299"/>
      <c r="QUC4" s="299"/>
      <c r="QUD4" s="297"/>
      <c r="QUE4" s="297"/>
      <c r="QUF4" s="297"/>
      <c r="QUG4" s="16"/>
      <c r="QUH4" s="16"/>
      <c r="QUI4" s="16"/>
      <c r="QUJ4" s="16"/>
      <c r="QUL4" s="297"/>
      <c r="QUM4" s="298"/>
      <c r="QUN4" s="298"/>
      <c r="QUO4" s="297"/>
      <c r="QUP4" s="297"/>
      <c r="QUQ4" s="297"/>
      <c r="QUR4" s="298"/>
      <c r="QUS4" s="299"/>
      <c r="QUT4" s="297"/>
      <c r="QUU4" s="297"/>
      <c r="QUV4" s="299"/>
      <c r="QUW4" s="299"/>
      <c r="QUX4" s="297"/>
      <c r="QUY4" s="297"/>
      <c r="QUZ4" s="299"/>
      <c r="QVA4" s="299"/>
      <c r="QVB4" s="297"/>
      <c r="QVC4" s="297"/>
      <c r="QVD4" s="297"/>
      <c r="QVE4" s="16"/>
      <c r="QVF4" s="16"/>
      <c r="QVG4" s="16"/>
      <c r="QVH4" s="16"/>
      <c r="QVJ4" s="297"/>
      <c r="QVK4" s="298"/>
      <c r="QVL4" s="298"/>
      <c r="QVM4" s="297"/>
      <c r="QVN4" s="297"/>
      <c r="QVO4" s="297"/>
      <c r="QVP4" s="298"/>
      <c r="QVQ4" s="299"/>
      <c r="QVR4" s="297"/>
      <c r="QVS4" s="297"/>
      <c r="QVT4" s="299"/>
      <c r="QVU4" s="299"/>
      <c r="QVV4" s="297"/>
      <c r="QVW4" s="297"/>
      <c r="QVX4" s="299"/>
      <c r="QVY4" s="299"/>
      <c r="QVZ4" s="297"/>
      <c r="QWA4" s="297"/>
      <c r="QWB4" s="297"/>
      <c r="QWC4" s="16"/>
      <c r="QWD4" s="16"/>
      <c r="QWE4" s="16"/>
      <c r="QWF4" s="16"/>
      <c r="QWH4" s="297"/>
      <c r="QWI4" s="298"/>
      <c r="QWJ4" s="298"/>
      <c r="QWK4" s="297"/>
      <c r="QWL4" s="297"/>
      <c r="QWM4" s="297"/>
      <c r="QWN4" s="298"/>
      <c r="QWO4" s="299"/>
      <c r="QWP4" s="297"/>
      <c r="QWQ4" s="297"/>
      <c r="QWR4" s="299"/>
      <c r="QWS4" s="299"/>
      <c r="QWT4" s="297"/>
      <c r="QWU4" s="297"/>
      <c r="QWV4" s="299"/>
      <c r="QWW4" s="299"/>
      <c r="QWX4" s="297"/>
      <c r="QWY4" s="297"/>
      <c r="QWZ4" s="297"/>
      <c r="QXA4" s="16"/>
      <c r="QXB4" s="16"/>
      <c r="QXC4" s="16"/>
      <c r="QXD4" s="16"/>
      <c r="QXF4" s="297"/>
      <c r="QXG4" s="298"/>
      <c r="QXH4" s="298"/>
      <c r="QXI4" s="297"/>
      <c r="QXJ4" s="297"/>
      <c r="QXK4" s="297"/>
      <c r="QXL4" s="298"/>
      <c r="QXM4" s="299"/>
      <c r="QXN4" s="297"/>
      <c r="QXO4" s="297"/>
      <c r="QXP4" s="299"/>
      <c r="QXQ4" s="299"/>
      <c r="QXR4" s="297"/>
      <c r="QXS4" s="297"/>
      <c r="QXT4" s="299"/>
      <c r="QXU4" s="299"/>
      <c r="QXV4" s="297"/>
      <c r="QXW4" s="297"/>
      <c r="QXX4" s="297"/>
      <c r="QXY4" s="16"/>
      <c r="QXZ4" s="16"/>
      <c r="QYA4" s="16"/>
      <c r="QYB4" s="16"/>
      <c r="QYD4" s="297"/>
      <c r="QYE4" s="298"/>
      <c r="QYF4" s="298"/>
      <c r="QYG4" s="297"/>
      <c r="QYH4" s="297"/>
      <c r="QYI4" s="297"/>
      <c r="QYJ4" s="298"/>
      <c r="QYK4" s="299"/>
      <c r="QYL4" s="297"/>
      <c r="QYM4" s="297"/>
      <c r="QYN4" s="299"/>
      <c r="QYO4" s="299"/>
      <c r="QYP4" s="297"/>
      <c r="QYQ4" s="297"/>
      <c r="QYR4" s="299"/>
      <c r="QYS4" s="299"/>
      <c r="QYT4" s="297"/>
      <c r="QYU4" s="297"/>
      <c r="QYV4" s="297"/>
      <c r="QYW4" s="16"/>
      <c r="QYX4" s="16"/>
      <c r="QYY4" s="16"/>
      <c r="QYZ4" s="16"/>
      <c r="QZB4" s="297"/>
      <c r="QZC4" s="298"/>
      <c r="QZD4" s="298"/>
      <c r="QZE4" s="297"/>
      <c r="QZF4" s="297"/>
      <c r="QZG4" s="297"/>
      <c r="QZH4" s="298"/>
      <c r="QZI4" s="299"/>
      <c r="QZJ4" s="297"/>
      <c r="QZK4" s="297"/>
      <c r="QZL4" s="299"/>
      <c r="QZM4" s="299"/>
      <c r="QZN4" s="297"/>
      <c r="QZO4" s="297"/>
      <c r="QZP4" s="299"/>
      <c r="QZQ4" s="299"/>
      <c r="QZR4" s="297"/>
      <c r="QZS4" s="297"/>
      <c r="QZT4" s="297"/>
      <c r="QZU4" s="16"/>
      <c r="QZV4" s="16"/>
      <c r="QZW4" s="16"/>
      <c r="QZX4" s="16"/>
      <c r="QZZ4" s="297"/>
      <c r="RAA4" s="298"/>
      <c r="RAB4" s="298"/>
      <c r="RAC4" s="297"/>
      <c r="RAD4" s="297"/>
      <c r="RAE4" s="297"/>
      <c r="RAF4" s="298"/>
      <c r="RAG4" s="299"/>
      <c r="RAH4" s="297"/>
      <c r="RAI4" s="297"/>
      <c r="RAJ4" s="299"/>
      <c r="RAK4" s="299"/>
      <c r="RAL4" s="297"/>
      <c r="RAM4" s="297"/>
      <c r="RAN4" s="299"/>
      <c r="RAO4" s="299"/>
      <c r="RAP4" s="297"/>
      <c r="RAQ4" s="297"/>
      <c r="RAR4" s="297"/>
      <c r="RAS4" s="16"/>
      <c r="RAT4" s="16"/>
      <c r="RAU4" s="16"/>
      <c r="RAV4" s="16"/>
      <c r="RAX4" s="297"/>
      <c r="RAY4" s="298"/>
      <c r="RAZ4" s="298"/>
      <c r="RBA4" s="297"/>
      <c r="RBB4" s="297"/>
      <c r="RBC4" s="297"/>
      <c r="RBD4" s="298"/>
      <c r="RBE4" s="299"/>
      <c r="RBF4" s="297"/>
      <c r="RBG4" s="297"/>
      <c r="RBH4" s="299"/>
      <c r="RBI4" s="299"/>
      <c r="RBJ4" s="297"/>
      <c r="RBK4" s="297"/>
      <c r="RBL4" s="299"/>
      <c r="RBM4" s="299"/>
      <c r="RBN4" s="297"/>
      <c r="RBO4" s="297"/>
      <c r="RBP4" s="297"/>
      <c r="RBQ4" s="16"/>
      <c r="RBR4" s="16"/>
      <c r="RBS4" s="16"/>
      <c r="RBT4" s="16"/>
      <c r="RBV4" s="297"/>
      <c r="RBW4" s="298"/>
      <c r="RBX4" s="298"/>
      <c r="RBY4" s="297"/>
      <c r="RBZ4" s="297"/>
      <c r="RCA4" s="297"/>
      <c r="RCB4" s="298"/>
      <c r="RCC4" s="299"/>
      <c r="RCD4" s="297"/>
      <c r="RCE4" s="297"/>
      <c r="RCF4" s="299"/>
      <c r="RCG4" s="299"/>
      <c r="RCH4" s="297"/>
      <c r="RCI4" s="297"/>
      <c r="RCJ4" s="299"/>
      <c r="RCK4" s="299"/>
      <c r="RCL4" s="297"/>
      <c r="RCM4" s="297"/>
      <c r="RCN4" s="297"/>
      <c r="RCO4" s="16"/>
      <c r="RCP4" s="16"/>
      <c r="RCQ4" s="16"/>
      <c r="RCR4" s="16"/>
      <c r="RCT4" s="297"/>
      <c r="RCU4" s="298"/>
      <c r="RCV4" s="298"/>
      <c r="RCW4" s="297"/>
      <c r="RCX4" s="297"/>
      <c r="RCY4" s="297"/>
      <c r="RCZ4" s="298"/>
      <c r="RDA4" s="299"/>
      <c r="RDB4" s="297"/>
      <c r="RDC4" s="297"/>
      <c r="RDD4" s="299"/>
      <c r="RDE4" s="299"/>
      <c r="RDF4" s="297"/>
      <c r="RDG4" s="297"/>
      <c r="RDH4" s="299"/>
      <c r="RDI4" s="299"/>
      <c r="RDJ4" s="297"/>
      <c r="RDK4" s="297"/>
      <c r="RDL4" s="297"/>
      <c r="RDM4" s="16"/>
      <c r="RDN4" s="16"/>
      <c r="RDO4" s="16"/>
      <c r="RDP4" s="16"/>
      <c r="RDR4" s="297"/>
      <c r="RDS4" s="298"/>
      <c r="RDT4" s="298"/>
      <c r="RDU4" s="297"/>
      <c r="RDV4" s="297"/>
      <c r="RDW4" s="297"/>
      <c r="RDX4" s="298"/>
      <c r="RDY4" s="299"/>
      <c r="RDZ4" s="297"/>
      <c r="REA4" s="297"/>
      <c r="REB4" s="299"/>
      <c r="REC4" s="299"/>
      <c r="RED4" s="297"/>
      <c r="REE4" s="297"/>
      <c r="REF4" s="299"/>
      <c r="REG4" s="299"/>
      <c r="REH4" s="297"/>
      <c r="REI4" s="297"/>
      <c r="REJ4" s="297"/>
      <c r="REK4" s="16"/>
      <c r="REL4" s="16"/>
      <c r="REM4" s="16"/>
      <c r="REN4" s="16"/>
      <c r="REP4" s="297"/>
      <c r="REQ4" s="298"/>
      <c r="RER4" s="298"/>
      <c r="RES4" s="297"/>
      <c r="RET4" s="297"/>
      <c r="REU4" s="297"/>
      <c r="REV4" s="298"/>
      <c r="REW4" s="299"/>
      <c r="REX4" s="297"/>
      <c r="REY4" s="297"/>
      <c r="REZ4" s="299"/>
      <c r="RFA4" s="299"/>
      <c r="RFB4" s="297"/>
      <c r="RFC4" s="297"/>
      <c r="RFD4" s="299"/>
      <c r="RFE4" s="299"/>
      <c r="RFF4" s="297"/>
      <c r="RFG4" s="297"/>
      <c r="RFH4" s="297"/>
      <c r="RFI4" s="16"/>
      <c r="RFJ4" s="16"/>
      <c r="RFK4" s="16"/>
      <c r="RFL4" s="16"/>
      <c r="RFN4" s="297"/>
      <c r="RFO4" s="298"/>
      <c r="RFP4" s="298"/>
      <c r="RFQ4" s="297"/>
      <c r="RFR4" s="297"/>
      <c r="RFS4" s="297"/>
      <c r="RFT4" s="298"/>
      <c r="RFU4" s="299"/>
      <c r="RFV4" s="297"/>
      <c r="RFW4" s="297"/>
      <c r="RFX4" s="299"/>
      <c r="RFY4" s="299"/>
      <c r="RFZ4" s="297"/>
      <c r="RGA4" s="297"/>
      <c r="RGB4" s="299"/>
      <c r="RGC4" s="299"/>
      <c r="RGD4" s="297"/>
      <c r="RGE4" s="297"/>
      <c r="RGF4" s="297"/>
      <c r="RGG4" s="16"/>
      <c r="RGH4" s="16"/>
      <c r="RGI4" s="16"/>
      <c r="RGJ4" s="16"/>
      <c r="RGL4" s="297"/>
      <c r="RGM4" s="298"/>
      <c r="RGN4" s="298"/>
      <c r="RGO4" s="297"/>
      <c r="RGP4" s="297"/>
      <c r="RGQ4" s="297"/>
      <c r="RGR4" s="298"/>
      <c r="RGS4" s="299"/>
      <c r="RGT4" s="297"/>
      <c r="RGU4" s="297"/>
      <c r="RGV4" s="299"/>
      <c r="RGW4" s="299"/>
      <c r="RGX4" s="297"/>
      <c r="RGY4" s="297"/>
      <c r="RGZ4" s="299"/>
      <c r="RHA4" s="299"/>
      <c r="RHB4" s="297"/>
      <c r="RHC4" s="297"/>
      <c r="RHD4" s="297"/>
      <c r="RHE4" s="16"/>
      <c r="RHF4" s="16"/>
      <c r="RHG4" s="16"/>
      <c r="RHH4" s="16"/>
      <c r="RHJ4" s="297"/>
      <c r="RHK4" s="298"/>
      <c r="RHL4" s="298"/>
      <c r="RHM4" s="297"/>
      <c r="RHN4" s="297"/>
      <c r="RHO4" s="297"/>
      <c r="RHP4" s="298"/>
      <c r="RHQ4" s="299"/>
      <c r="RHR4" s="297"/>
      <c r="RHS4" s="297"/>
      <c r="RHT4" s="299"/>
      <c r="RHU4" s="299"/>
      <c r="RHV4" s="297"/>
      <c r="RHW4" s="297"/>
      <c r="RHX4" s="299"/>
      <c r="RHY4" s="299"/>
      <c r="RHZ4" s="297"/>
      <c r="RIA4" s="297"/>
      <c r="RIB4" s="297"/>
      <c r="RIC4" s="16"/>
      <c r="RID4" s="16"/>
      <c r="RIE4" s="16"/>
      <c r="RIF4" s="16"/>
      <c r="RIH4" s="297"/>
      <c r="RII4" s="298"/>
      <c r="RIJ4" s="298"/>
      <c r="RIK4" s="297"/>
      <c r="RIL4" s="297"/>
      <c r="RIM4" s="297"/>
      <c r="RIN4" s="298"/>
      <c r="RIO4" s="299"/>
      <c r="RIP4" s="297"/>
      <c r="RIQ4" s="297"/>
      <c r="RIR4" s="299"/>
      <c r="RIS4" s="299"/>
      <c r="RIT4" s="297"/>
      <c r="RIU4" s="297"/>
      <c r="RIV4" s="299"/>
      <c r="RIW4" s="299"/>
      <c r="RIX4" s="297"/>
      <c r="RIY4" s="297"/>
      <c r="RIZ4" s="297"/>
      <c r="RJA4" s="16"/>
      <c r="RJB4" s="16"/>
      <c r="RJC4" s="16"/>
      <c r="RJD4" s="16"/>
      <c r="RJF4" s="297"/>
      <c r="RJG4" s="298"/>
      <c r="RJH4" s="298"/>
      <c r="RJI4" s="297"/>
      <c r="RJJ4" s="297"/>
      <c r="RJK4" s="297"/>
      <c r="RJL4" s="298"/>
      <c r="RJM4" s="299"/>
      <c r="RJN4" s="297"/>
      <c r="RJO4" s="297"/>
      <c r="RJP4" s="299"/>
      <c r="RJQ4" s="299"/>
      <c r="RJR4" s="297"/>
      <c r="RJS4" s="297"/>
      <c r="RJT4" s="299"/>
      <c r="RJU4" s="299"/>
      <c r="RJV4" s="297"/>
      <c r="RJW4" s="297"/>
      <c r="RJX4" s="297"/>
      <c r="RJY4" s="16"/>
      <c r="RJZ4" s="16"/>
      <c r="RKA4" s="16"/>
      <c r="RKB4" s="16"/>
      <c r="RKD4" s="297"/>
      <c r="RKE4" s="298"/>
      <c r="RKF4" s="298"/>
      <c r="RKG4" s="297"/>
      <c r="RKH4" s="297"/>
      <c r="RKI4" s="297"/>
      <c r="RKJ4" s="298"/>
      <c r="RKK4" s="299"/>
      <c r="RKL4" s="297"/>
      <c r="RKM4" s="297"/>
      <c r="RKN4" s="299"/>
      <c r="RKO4" s="299"/>
      <c r="RKP4" s="297"/>
      <c r="RKQ4" s="297"/>
      <c r="RKR4" s="299"/>
      <c r="RKS4" s="299"/>
      <c r="RKT4" s="297"/>
      <c r="RKU4" s="297"/>
      <c r="RKV4" s="297"/>
      <c r="RKW4" s="16"/>
      <c r="RKX4" s="16"/>
      <c r="RKY4" s="16"/>
      <c r="RKZ4" s="16"/>
      <c r="RLB4" s="297"/>
      <c r="RLC4" s="298"/>
      <c r="RLD4" s="298"/>
      <c r="RLE4" s="297"/>
      <c r="RLF4" s="297"/>
      <c r="RLG4" s="297"/>
      <c r="RLH4" s="298"/>
      <c r="RLI4" s="299"/>
      <c r="RLJ4" s="297"/>
      <c r="RLK4" s="297"/>
      <c r="RLL4" s="299"/>
      <c r="RLM4" s="299"/>
      <c r="RLN4" s="297"/>
      <c r="RLO4" s="297"/>
      <c r="RLP4" s="299"/>
      <c r="RLQ4" s="299"/>
      <c r="RLR4" s="297"/>
      <c r="RLS4" s="297"/>
      <c r="RLT4" s="297"/>
      <c r="RLU4" s="16"/>
      <c r="RLV4" s="16"/>
      <c r="RLW4" s="16"/>
      <c r="RLX4" s="16"/>
      <c r="RLZ4" s="297"/>
      <c r="RMA4" s="298"/>
      <c r="RMB4" s="298"/>
      <c r="RMC4" s="297"/>
      <c r="RMD4" s="297"/>
      <c r="RME4" s="297"/>
      <c r="RMF4" s="298"/>
      <c r="RMG4" s="299"/>
      <c r="RMH4" s="297"/>
      <c r="RMI4" s="297"/>
      <c r="RMJ4" s="299"/>
      <c r="RMK4" s="299"/>
      <c r="RML4" s="297"/>
      <c r="RMM4" s="297"/>
      <c r="RMN4" s="299"/>
      <c r="RMO4" s="299"/>
      <c r="RMP4" s="297"/>
      <c r="RMQ4" s="297"/>
      <c r="RMR4" s="297"/>
      <c r="RMS4" s="16"/>
      <c r="RMT4" s="16"/>
      <c r="RMU4" s="16"/>
      <c r="RMV4" s="16"/>
      <c r="RMX4" s="297"/>
      <c r="RMY4" s="298"/>
      <c r="RMZ4" s="298"/>
      <c r="RNA4" s="297"/>
      <c r="RNB4" s="297"/>
      <c r="RNC4" s="297"/>
      <c r="RND4" s="298"/>
      <c r="RNE4" s="299"/>
      <c r="RNF4" s="297"/>
      <c r="RNG4" s="297"/>
      <c r="RNH4" s="299"/>
      <c r="RNI4" s="299"/>
      <c r="RNJ4" s="297"/>
      <c r="RNK4" s="297"/>
      <c r="RNL4" s="299"/>
      <c r="RNM4" s="299"/>
      <c r="RNN4" s="297"/>
      <c r="RNO4" s="297"/>
      <c r="RNP4" s="297"/>
      <c r="RNQ4" s="16"/>
      <c r="RNR4" s="16"/>
      <c r="RNS4" s="16"/>
      <c r="RNT4" s="16"/>
      <c r="RNV4" s="297"/>
      <c r="RNW4" s="298"/>
      <c r="RNX4" s="298"/>
      <c r="RNY4" s="297"/>
      <c r="RNZ4" s="297"/>
      <c r="ROA4" s="297"/>
      <c r="ROB4" s="298"/>
      <c r="ROC4" s="299"/>
      <c r="ROD4" s="297"/>
      <c r="ROE4" s="297"/>
      <c r="ROF4" s="299"/>
      <c r="ROG4" s="299"/>
      <c r="ROH4" s="297"/>
      <c r="ROI4" s="297"/>
      <c r="ROJ4" s="299"/>
      <c r="ROK4" s="299"/>
      <c r="ROL4" s="297"/>
      <c r="ROM4" s="297"/>
      <c r="RON4" s="297"/>
      <c r="ROO4" s="16"/>
      <c r="ROP4" s="16"/>
      <c r="ROQ4" s="16"/>
      <c r="ROR4" s="16"/>
      <c r="ROT4" s="297"/>
      <c r="ROU4" s="298"/>
      <c r="ROV4" s="298"/>
      <c r="ROW4" s="297"/>
      <c r="ROX4" s="297"/>
      <c r="ROY4" s="297"/>
      <c r="ROZ4" s="298"/>
      <c r="RPA4" s="299"/>
      <c r="RPB4" s="297"/>
      <c r="RPC4" s="297"/>
      <c r="RPD4" s="299"/>
      <c r="RPE4" s="299"/>
      <c r="RPF4" s="297"/>
      <c r="RPG4" s="297"/>
      <c r="RPH4" s="299"/>
      <c r="RPI4" s="299"/>
      <c r="RPJ4" s="297"/>
      <c r="RPK4" s="297"/>
      <c r="RPL4" s="297"/>
      <c r="RPM4" s="16"/>
      <c r="RPN4" s="16"/>
      <c r="RPO4" s="16"/>
      <c r="RPP4" s="16"/>
      <c r="RPR4" s="297"/>
      <c r="RPS4" s="298"/>
      <c r="RPT4" s="298"/>
      <c r="RPU4" s="297"/>
      <c r="RPV4" s="297"/>
      <c r="RPW4" s="297"/>
      <c r="RPX4" s="298"/>
      <c r="RPY4" s="299"/>
      <c r="RPZ4" s="297"/>
      <c r="RQA4" s="297"/>
      <c r="RQB4" s="299"/>
      <c r="RQC4" s="299"/>
      <c r="RQD4" s="297"/>
      <c r="RQE4" s="297"/>
      <c r="RQF4" s="299"/>
      <c r="RQG4" s="299"/>
      <c r="RQH4" s="297"/>
      <c r="RQI4" s="297"/>
      <c r="RQJ4" s="297"/>
      <c r="RQK4" s="16"/>
      <c r="RQL4" s="16"/>
      <c r="RQM4" s="16"/>
      <c r="RQN4" s="16"/>
      <c r="RQP4" s="297"/>
      <c r="RQQ4" s="298"/>
      <c r="RQR4" s="298"/>
      <c r="RQS4" s="297"/>
      <c r="RQT4" s="297"/>
      <c r="RQU4" s="297"/>
      <c r="RQV4" s="298"/>
      <c r="RQW4" s="299"/>
      <c r="RQX4" s="297"/>
      <c r="RQY4" s="297"/>
      <c r="RQZ4" s="299"/>
      <c r="RRA4" s="299"/>
      <c r="RRB4" s="297"/>
      <c r="RRC4" s="297"/>
      <c r="RRD4" s="299"/>
      <c r="RRE4" s="299"/>
      <c r="RRF4" s="297"/>
      <c r="RRG4" s="297"/>
      <c r="RRH4" s="297"/>
      <c r="RRI4" s="16"/>
      <c r="RRJ4" s="16"/>
      <c r="RRK4" s="16"/>
      <c r="RRL4" s="16"/>
      <c r="RRN4" s="297"/>
      <c r="RRO4" s="298"/>
      <c r="RRP4" s="298"/>
      <c r="RRQ4" s="297"/>
      <c r="RRR4" s="297"/>
      <c r="RRS4" s="297"/>
      <c r="RRT4" s="298"/>
      <c r="RRU4" s="299"/>
      <c r="RRV4" s="297"/>
      <c r="RRW4" s="297"/>
      <c r="RRX4" s="299"/>
      <c r="RRY4" s="299"/>
      <c r="RRZ4" s="297"/>
      <c r="RSA4" s="297"/>
      <c r="RSB4" s="299"/>
      <c r="RSC4" s="299"/>
      <c r="RSD4" s="297"/>
      <c r="RSE4" s="297"/>
      <c r="RSF4" s="297"/>
      <c r="RSG4" s="16"/>
      <c r="RSH4" s="16"/>
      <c r="RSI4" s="16"/>
      <c r="RSJ4" s="16"/>
      <c r="RSL4" s="297"/>
      <c r="RSM4" s="298"/>
      <c r="RSN4" s="298"/>
      <c r="RSO4" s="297"/>
      <c r="RSP4" s="297"/>
      <c r="RSQ4" s="297"/>
      <c r="RSR4" s="298"/>
      <c r="RSS4" s="299"/>
      <c r="RST4" s="297"/>
      <c r="RSU4" s="297"/>
      <c r="RSV4" s="299"/>
      <c r="RSW4" s="299"/>
      <c r="RSX4" s="297"/>
      <c r="RSY4" s="297"/>
      <c r="RSZ4" s="299"/>
      <c r="RTA4" s="299"/>
      <c r="RTB4" s="297"/>
      <c r="RTC4" s="297"/>
      <c r="RTD4" s="297"/>
      <c r="RTE4" s="16"/>
      <c r="RTF4" s="16"/>
      <c r="RTG4" s="16"/>
      <c r="RTH4" s="16"/>
      <c r="RTJ4" s="297"/>
      <c r="RTK4" s="298"/>
      <c r="RTL4" s="298"/>
      <c r="RTM4" s="297"/>
      <c r="RTN4" s="297"/>
      <c r="RTO4" s="297"/>
      <c r="RTP4" s="298"/>
      <c r="RTQ4" s="299"/>
      <c r="RTR4" s="297"/>
      <c r="RTS4" s="297"/>
      <c r="RTT4" s="299"/>
      <c r="RTU4" s="299"/>
      <c r="RTV4" s="297"/>
      <c r="RTW4" s="297"/>
      <c r="RTX4" s="299"/>
      <c r="RTY4" s="299"/>
      <c r="RTZ4" s="297"/>
      <c r="RUA4" s="297"/>
      <c r="RUB4" s="297"/>
      <c r="RUC4" s="16"/>
      <c r="RUD4" s="16"/>
      <c r="RUE4" s="16"/>
      <c r="RUF4" s="16"/>
      <c r="RUH4" s="297"/>
      <c r="RUI4" s="298"/>
      <c r="RUJ4" s="298"/>
      <c r="RUK4" s="297"/>
      <c r="RUL4" s="297"/>
      <c r="RUM4" s="297"/>
      <c r="RUN4" s="298"/>
      <c r="RUO4" s="299"/>
      <c r="RUP4" s="297"/>
      <c r="RUQ4" s="297"/>
      <c r="RUR4" s="299"/>
      <c r="RUS4" s="299"/>
      <c r="RUT4" s="297"/>
      <c r="RUU4" s="297"/>
      <c r="RUV4" s="299"/>
      <c r="RUW4" s="299"/>
      <c r="RUX4" s="297"/>
      <c r="RUY4" s="297"/>
      <c r="RUZ4" s="297"/>
      <c r="RVA4" s="16"/>
      <c r="RVB4" s="16"/>
      <c r="RVC4" s="16"/>
      <c r="RVD4" s="16"/>
      <c r="RVF4" s="297"/>
      <c r="RVG4" s="298"/>
      <c r="RVH4" s="298"/>
      <c r="RVI4" s="297"/>
      <c r="RVJ4" s="297"/>
      <c r="RVK4" s="297"/>
      <c r="RVL4" s="298"/>
      <c r="RVM4" s="299"/>
      <c r="RVN4" s="297"/>
      <c r="RVO4" s="297"/>
      <c r="RVP4" s="299"/>
      <c r="RVQ4" s="299"/>
      <c r="RVR4" s="297"/>
      <c r="RVS4" s="297"/>
      <c r="RVT4" s="299"/>
      <c r="RVU4" s="299"/>
      <c r="RVV4" s="297"/>
      <c r="RVW4" s="297"/>
      <c r="RVX4" s="297"/>
      <c r="RVY4" s="16"/>
      <c r="RVZ4" s="16"/>
      <c r="RWA4" s="16"/>
      <c r="RWB4" s="16"/>
      <c r="RWD4" s="297"/>
      <c r="RWE4" s="298"/>
      <c r="RWF4" s="298"/>
      <c r="RWG4" s="297"/>
      <c r="RWH4" s="297"/>
      <c r="RWI4" s="297"/>
      <c r="RWJ4" s="298"/>
      <c r="RWK4" s="299"/>
      <c r="RWL4" s="297"/>
      <c r="RWM4" s="297"/>
      <c r="RWN4" s="299"/>
      <c r="RWO4" s="299"/>
      <c r="RWP4" s="297"/>
      <c r="RWQ4" s="297"/>
      <c r="RWR4" s="299"/>
      <c r="RWS4" s="299"/>
      <c r="RWT4" s="297"/>
      <c r="RWU4" s="297"/>
      <c r="RWV4" s="297"/>
      <c r="RWW4" s="16"/>
      <c r="RWX4" s="16"/>
      <c r="RWY4" s="16"/>
      <c r="RWZ4" s="16"/>
      <c r="RXB4" s="297"/>
      <c r="RXC4" s="298"/>
      <c r="RXD4" s="298"/>
      <c r="RXE4" s="297"/>
      <c r="RXF4" s="297"/>
      <c r="RXG4" s="297"/>
      <c r="RXH4" s="298"/>
      <c r="RXI4" s="299"/>
      <c r="RXJ4" s="297"/>
      <c r="RXK4" s="297"/>
      <c r="RXL4" s="299"/>
      <c r="RXM4" s="299"/>
      <c r="RXN4" s="297"/>
      <c r="RXO4" s="297"/>
      <c r="RXP4" s="299"/>
      <c r="RXQ4" s="299"/>
      <c r="RXR4" s="297"/>
      <c r="RXS4" s="297"/>
      <c r="RXT4" s="297"/>
      <c r="RXU4" s="16"/>
      <c r="RXV4" s="16"/>
      <c r="RXW4" s="16"/>
      <c r="RXX4" s="16"/>
      <c r="RXZ4" s="297"/>
      <c r="RYA4" s="298"/>
      <c r="RYB4" s="298"/>
      <c r="RYC4" s="297"/>
      <c r="RYD4" s="297"/>
      <c r="RYE4" s="297"/>
      <c r="RYF4" s="298"/>
      <c r="RYG4" s="299"/>
      <c r="RYH4" s="297"/>
      <c r="RYI4" s="297"/>
      <c r="RYJ4" s="299"/>
      <c r="RYK4" s="299"/>
      <c r="RYL4" s="297"/>
      <c r="RYM4" s="297"/>
      <c r="RYN4" s="299"/>
      <c r="RYO4" s="299"/>
      <c r="RYP4" s="297"/>
      <c r="RYQ4" s="297"/>
      <c r="RYR4" s="297"/>
      <c r="RYS4" s="16"/>
      <c r="RYT4" s="16"/>
      <c r="RYU4" s="16"/>
      <c r="RYV4" s="16"/>
      <c r="RYX4" s="297"/>
      <c r="RYY4" s="298"/>
      <c r="RYZ4" s="298"/>
      <c r="RZA4" s="297"/>
      <c r="RZB4" s="297"/>
      <c r="RZC4" s="297"/>
      <c r="RZD4" s="298"/>
      <c r="RZE4" s="299"/>
      <c r="RZF4" s="297"/>
      <c r="RZG4" s="297"/>
      <c r="RZH4" s="299"/>
      <c r="RZI4" s="299"/>
      <c r="RZJ4" s="297"/>
      <c r="RZK4" s="297"/>
      <c r="RZL4" s="299"/>
      <c r="RZM4" s="299"/>
      <c r="RZN4" s="297"/>
      <c r="RZO4" s="297"/>
      <c r="RZP4" s="297"/>
      <c r="RZQ4" s="16"/>
      <c r="RZR4" s="16"/>
      <c r="RZS4" s="16"/>
      <c r="RZT4" s="16"/>
      <c r="RZV4" s="297"/>
      <c r="RZW4" s="298"/>
      <c r="RZX4" s="298"/>
      <c r="RZY4" s="297"/>
      <c r="RZZ4" s="297"/>
      <c r="SAA4" s="297"/>
      <c r="SAB4" s="298"/>
      <c r="SAC4" s="299"/>
      <c r="SAD4" s="297"/>
      <c r="SAE4" s="297"/>
      <c r="SAF4" s="299"/>
      <c r="SAG4" s="299"/>
      <c r="SAH4" s="297"/>
      <c r="SAI4" s="297"/>
      <c r="SAJ4" s="299"/>
      <c r="SAK4" s="299"/>
      <c r="SAL4" s="297"/>
      <c r="SAM4" s="297"/>
      <c r="SAN4" s="297"/>
      <c r="SAO4" s="16"/>
      <c r="SAP4" s="16"/>
      <c r="SAQ4" s="16"/>
      <c r="SAR4" s="16"/>
      <c r="SAT4" s="297"/>
      <c r="SAU4" s="298"/>
      <c r="SAV4" s="298"/>
      <c r="SAW4" s="297"/>
      <c r="SAX4" s="297"/>
      <c r="SAY4" s="297"/>
      <c r="SAZ4" s="298"/>
      <c r="SBA4" s="299"/>
      <c r="SBB4" s="297"/>
      <c r="SBC4" s="297"/>
      <c r="SBD4" s="299"/>
      <c r="SBE4" s="299"/>
      <c r="SBF4" s="297"/>
      <c r="SBG4" s="297"/>
      <c r="SBH4" s="299"/>
      <c r="SBI4" s="299"/>
      <c r="SBJ4" s="297"/>
      <c r="SBK4" s="297"/>
      <c r="SBL4" s="297"/>
      <c r="SBM4" s="16"/>
      <c r="SBN4" s="16"/>
      <c r="SBO4" s="16"/>
      <c r="SBP4" s="16"/>
      <c r="SBR4" s="297"/>
      <c r="SBS4" s="298"/>
      <c r="SBT4" s="298"/>
      <c r="SBU4" s="297"/>
      <c r="SBV4" s="297"/>
      <c r="SBW4" s="297"/>
      <c r="SBX4" s="298"/>
      <c r="SBY4" s="299"/>
      <c r="SBZ4" s="297"/>
      <c r="SCA4" s="297"/>
      <c r="SCB4" s="299"/>
      <c r="SCC4" s="299"/>
      <c r="SCD4" s="297"/>
      <c r="SCE4" s="297"/>
      <c r="SCF4" s="299"/>
      <c r="SCG4" s="299"/>
      <c r="SCH4" s="297"/>
      <c r="SCI4" s="297"/>
      <c r="SCJ4" s="297"/>
      <c r="SCK4" s="16"/>
      <c r="SCL4" s="16"/>
      <c r="SCM4" s="16"/>
      <c r="SCN4" s="16"/>
      <c r="SCP4" s="297"/>
      <c r="SCQ4" s="298"/>
      <c r="SCR4" s="298"/>
      <c r="SCS4" s="297"/>
      <c r="SCT4" s="297"/>
      <c r="SCU4" s="297"/>
      <c r="SCV4" s="298"/>
      <c r="SCW4" s="299"/>
      <c r="SCX4" s="297"/>
      <c r="SCY4" s="297"/>
      <c r="SCZ4" s="299"/>
      <c r="SDA4" s="299"/>
      <c r="SDB4" s="297"/>
      <c r="SDC4" s="297"/>
      <c r="SDD4" s="299"/>
      <c r="SDE4" s="299"/>
      <c r="SDF4" s="297"/>
      <c r="SDG4" s="297"/>
      <c r="SDH4" s="297"/>
      <c r="SDI4" s="16"/>
      <c r="SDJ4" s="16"/>
      <c r="SDK4" s="16"/>
      <c r="SDL4" s="16"/>
      <c r="SDN4" s="297"/>
      <c r="SDO4" s="298"/>
      <c r="SDP4" s="298"/>
      <c r="SDQ4" s="297"/>
      <c r="SDR4" s="297"/>
      <c r="SDS4" s="297"/>
      <c r="SDT4" s="298"/>
      <c r="SDU4" s="299"/>
      <c r="SDV4" s="297"/>
      <c r="SDW4" s="297"/>
      <c r="SDX4" s="299"/>
      <c r="SDY4" s="299"/>
      <c r="SDZ4" s="297"/>
      <c r="SEA4" s="297"/>
      <c r="SEB4" s="299"/>
      <c r="SEC4" s="299"/>
      <c r="SED4" s="297"/>
      <c r="SEE4" s="297"/>
      <c r="SEF4" s="297"/>
      <c r="SEG4" s="16"/>
      <c r="SEH4" s="16"/>
      <c r="SEI4" s="16"/>
      <c r="SEJ4" s="16"/>
      <c r="SEL4" s="297"/>
      <c r="SEM4" s="298"/>
      <c r="SEN4" s="298"/>
      <c r="SEO4" s="297"/>
      <c r="SEP4" s="297"/>
      <c r="SEQ4" s="297"/>
      <c r="SER4" s="298"/>
      <c r="SES4" s="299"/>
      <c r="SET4" s="297"/>
      <c r="SEU4" s="297"/>
      <c r="SEV4" s="299"/>
      <c r="SEW4" s="299"/>
      <c r="SEX4" s="297"/>
      <c r="SEY4" s="297"/>
      <c r="SEZ4" s="299"/>
      <c r="SFA4" s="299"/>
      <c r="SFB4" s="297"/>
      <c r="SFC4" s="297"/>
      <c r="SFD4" s="297"/>
      <c r="SFE4" s="16"/>
      <c r="SFF4" s="16"/>
      <c r="SFG4" s="16"/>
      <c r="SFH4" s="16"/>
      <c r="SFJ4" s="297"/>
      <c r="SFK4" s="298"/>
      <c r="SFL4" s="298"/>
      <c r="SFM4" s="297"/>
      <c r="SFN4" s="297"/>
      <c r="SFO4" s="297"/>
      <c r="SFP4" s="298"/>
      <c r="SFQ4" s="299"/>
      <c r="SFR4" s="297"/>
      <c r="SFS4" s="297"/>
      <c r="SFT4" s="299"/>
      <c r="SFU4" s="299"/>
      <c r="SFV4" s="297"/>
      <c r="SFW4" s="297"/>
      <c r="SFX4" s="299"/>
      <c r="SFY4" s="299"/>
      <c r="SFZ4" s="297"/>
      <c r="SGA4" s="297"/>
      <c r="SGB4" s="297"/>
      <c r="SGC4" s="16"/>
      <c r="SGD4" s="16"/>
      <c r="SGE4" s="16"/>
      <c r="SGF4" s="16"/>
      <c r="SGH4" s="297"/>
      <c r="SGI4" s="298"/>
      <c r="SGJ4" s="298"/>
      <c r="SGK4" s="297"/>
      <c r="SGL4" s="297"/>
      <c r="SGM4" s="297"/>
      <c r="SGN4" s="298"/>
      <c r="SGO4" s="299"/>
      <c r="SGP4" s="297"/>
      <c r="SGQ4" s="297"/>
      <c r="SGR4" s="299"/>
      <c r="SGS4" s="299"/>
      <c r="SGT4" s="297"/>
      <c r="SGU4" s="297"/>
      <c r="SGV4" s="299"/>
      <c r="SGW4" s="299"/>
      <c r="SGX4" s="297"/>
      <c r="SGY4" s="297"/>
      <c r="SGZ4" s="297"/>
      <c r="SHA4" s="16"/>
      <c r="SHB4" s="16"/>
      <c r="SHC4" s="16"/>
      <c r="SHD4" s="16"/>
      <c r="SHF4" s="297"/>
      <c r="SHG4" s="298"/>
      <c r="SHH4" s="298"/>
      <c r="SHI4" s="297"/>
      <c r="SHJ4" s="297"/>
      <c r="SHK4" s="297"/>
      <c r="SHL4" s="298"/>
      <c r="SHM4" s="299"/>
      <c r="SHN4" s="297"/>
      <c r="SHO4" s="297"/>
      <c r="SHP4" s="299"/>
      <c r="SHQ4" s="299"/>
      <c r="SHR4" s="297"/>
      <c r="SHS4" s="297"/>
      <c r="SHT4" s="299"/>
      <c r="SHU4" s="299"/>
      <c r="SHV4" s="297"/>
      <c r="SHW4" s="297"/>
      <c r="SHX4" s="297"/>
      <c r="SHY4" s="16"/>
      <c r="SHZ4" s="16"/>
      <c r="SIA4" s="16"/>
      <c r="SIB4" s="16"/>
      <c r="SID4" s="297"/>
      <c r="SIE4" s="298"/>
      <c r="SIF4" s="298"/>
      <c r="SIG4" s="297"/>
      <c r="SIH4" s="297"/>
      <c r="SII4" s="297"/>
      <c r="SIJ4" s="298"/>
      <c r="SIK4" s="299"/>
      <c r="SIL4" s="297"/>
      <c r="SIM4" s="297"/>
      <c r="SIN4" s="299"/>
      <c r="SIO4" s="299"/>
      <c r="SIP4" s="297"/>
      <c r="SIQ4" s="297"/>
      <c r="SIR4" s="299"/>
      <c r="SIS4" s="299"/>
      <c r="SIT4" s="297"/>
      <c r="SIU4" s="297"/>
      <c r="SIV4" s="297"/>
      <c r="SIW4" s="16"/>
      <c r="SIX4" s="16"/>
      <c r="SIY4" s="16"/>
      <c r="SIZ4" s="16"/>
      <c r="SJB4" s="297"/>
      <c r="SJC4" s="298"/>
      <c r="SJD4" s="298"/>
      <c r="SJE4" s="297"/>
      <c r="SJF4" s="297"/>
      <c r="SJG4" s="297"/>
      <c r="SJH4" s="298"/>
      <c r="SJI4" s="299"/>
      <c r="SJJ4" s="297"/>
      <c r="SJK4" s="297"/>
      <c r="SJL4" s="299"/>
      <c r="SJM4" s="299"/>
      <c r="SJN4" s="297"/>
      <c r="SJO4" s="297"/>
      <c r="SJP4" s="299"/>
      <c r="SJQ4" s="299"/>
      <c r="SJR4" s="297"/>
      <c r="SJS4" s="297"/>
      <c r="SJT4" s="297"/>
      <c r="SJU4" s="16"/>
      <c r="SJV4" s="16"/>
      <c r="SJW4" s="16"/>
      <c r="SJX4" s="16"/>
      <c r="SJZ4" s="297"/>
      <c r="SKA4" s="298"/>
      <c r="SKB4" s="298"/>
      <c r="SKC4" s="297"/>
      <c r="SKD4" s="297"/>
      <c r="SKE4" s="297"/>
      <c r="SKF4" s="298"/>
      <c r="SKG4" s="299"/>
      <c r="SKH4" s="297"/>
      <c r="SKI4" s="297"/>
      <c r="SKJ4" s="299"/>
      <c r="SKK4" s="299"/>
      <c r="SKL4" s="297"/>
      <c r="SKM4" s="297"/>
      <c r="SKN4" s="299"/>
      <c r="SKO4" s="299"/>
      <c r="SKP4" s="297"/>
      <c r="SKQ4" s="297"/>
      <c r="SKR4" s="297"/>
      <c r="SKS4" s="16"/>
      <c r="SKT4" s="16"/>
      <c r="SKU4" s="16"/>
      <c r="SKV4" s="16"/>
      <c r="SKX4" s="297"/>
      <c r="SKY4" s="298"/>
      <c r="SKZ4" s="298"/>
      <c r="SLA4" s="297"/>
      <c r="SLB4" s="297"/>
      <c r="SLC4" s="297"/>
      <c r="SLD4" s="298"/>
      <c r="SLE4" s="299"/>
      <c r="SLF4" s="297"/>
      <c r="SLG4" s="297"/>
      <c r="SLH4" s="299"/>
      <c r="SLI4" s="299"/>
      <c r="SLJ4" s="297"/>
      <c r="SLK4" s="297"/>
      <c r="SLL4" s="299"/>
      <c r="SLM4" s="299"/>
      <c r="SLN4" s="297"/>
      <c r="SLO4" s="297"/>
      <c r="SLP4" s="297"/>
      <c r="SLQ4" s="16"/>
      <c r="SLR4" s="16"/>
      <c r="SLS4" s="16"/>
      <c r="SLT4" s="16"/>
      <c r="SLV4" s="297"/>
      <c r="SLW4" s="298"/>
      <c r="SLX4" s="298"/>
      <c r="SLY4" s="297"/>
      <c r="SLZ4" s="297"/>
      <c r="SMA4" s="297"/>
      <c r="SMB4" s="298"/>
      <c r="SMC4" s="299"/>
      <c r="SMD4" s="297"/>
      <c r="SME4" s="297"/>
      <c r="SMF4" s="299"/>
      <c r="SMG4" s="299"/>
      <c r="SMH4" s="297"/>
      <c r="SMI4" s="297"/>
      <c r="SMJ4" s="299"/>
      <c r="SMK4" s="299"/>
      <c r="SML4" s="297"/>
      <c r="SMM4" s="297"/>
      <c r="SMN4" s="297"/>
      <c r="SMO4" s="16"/>
      <c r="SMP4" s="16"/>
      <c r="SMQ4" s="16"/>
      <c r="SMR4" s="16"/>
      <c r="SMT4" s="297"/>
      <c r="SMU4" s="298"/>
      <c r="SMV4" s="298"/>
      <c r="SMW4" s="297"/>
      <c r="SMX4" s="297"/>
      <c r="SMY4" s="297"/>
      <c r="SMZ4" s="298"/>
      <c r="SNA4" s="299"/>
      <c r="SNB4" s="297"/>
      <c r="SNC4" s="297"/>
      <c r="SND4" s="299"/>
      <c r="SNE4" s="299"/>
      <c r="SNF4" s="297"/>
      <c r="SNG4" s="297"/>
      <c r="SNH4" s="299"/>
      <c r="SNI4" s="299"/>
      <c r="SNJ4" s="297"/>
      <c r="SNK4" s="297"/>
      <c r="SNL4" s="297"/>
      <c r="SNM4" s="16"/>
      <c r="SNN4" s="16"/>
      <c r="SNO4" s="16"/>
      <c r="SNP4" s="16"/>
      <c r="SNR4" s="297"/>
      <c r="SNS4" s="298"/>
      <c r="SNT4" s="298"/>
      <c r="SNU4" s="297"/>
      <c r="SNV4" s="297"/>
      <c r="SNW4" s="297"/>
      <c r="SNX4" s="298"/>
      <c r="SNY4" s="299"/>
      <c r="SNZ4" s="297"/>
      <c r="SOA4" s="297"/>
      <c r="SOB4" s="299"/>
      <c r="SOC4" s="299"/>
      <c r="SOD4" s="297"/>
      <c r="SOE4" s="297"/>
      <c r="SOF4" s="299"/>
      <c r="SOG4" s="299"/>
      <c r="SOH4" s="297"/>
      <c r="SOI4" s="297"/>
      <c r="SOJ4" s="297"/>
      <c r="SOK4" s="16"/>
      <c r="SOL4" s="16"/>
      <c r="SOM4" s="16"/>
      <c r="SON4" s="16"/>
      <c r="SOP4" s="297"/>
      <c r="SOQ4" s="298"/>
      <c r="SOR4" s="298"/>
      <c r="SOS4" s="297"/>
      <c r="SOT4" s="297"/>
      <c r="SOU4" s="297"/>
      <c r="SOV4" s="298"/>
      <c r="SOW4" s="299"/>
      <c r="SOX4" s="297"/>
      <c r="SOY4" s="297"/>
      <c r="SOZ4" s="299"/>
      <c r="SPA4" s="299"/>
      <c r="SPB4" s="297"/>
      <c r="SPC4" s="297"/>
      <c r="SPD4" s="299"/>
      <c r="SPE4" s="299"/>
      <c r="SPF4" s="297"/>
      <c r="SPG4" s="297"/>
      <c r="SPH4" s="297"/>
      <c r="SPI4" s="16"/>
      <c r="SPJ4" s="16"/>
      <c r="SPK4" s="16"/>
      <c r="SPL4" s="16"/>
      <c r="SPN4" s="297"/>
      <c r="SPO4" s="298"/>
      <c r="SPP4" s="298"/>
      <c r="SPQ4" s="297"/>
      <c r="SPR4" s="297"/>
      <c r="SPS4" s="297"/>
      <c r="SPT4" s="298"/>
      <c r="SPU4" s="299"/>
      <c r="SPV4" s="297"/>
      <c r="SPW4" s="297"/>
      <c r="SPX4" s="299"/>
      <c r="SPY4" s="299"/>
      <c r="SPZ4" s="297"/>
      <c r="SQA4" s="297"/>
      <c r="SQB4" s="299"/>
      <c r="SQC4" s="299"/>
      <c r="SQD4" s="297"/>
      <c r="SQE4" s="297"/>
      <c r="SQF4" s="297"/>
      <c r="SQG4" s="16"/>
      <c r="SQH4" s="16"/>
      <c r="SQI4" s="16"/>
      <c r="SQJ4" s="16"/>
      <c r="SQL4" s="297"/>
      <c r="SQM4" s="298"/>
      <c r="SQN4" s="298"/>
      <c r="SQO4" s="297"/>
      <c r="SQP4" s="297"/>
      <c r="SQQ4" s="297"/>
      <c r="SQR4" s="298"/>
      <c r="SQS4" s="299"/>
      <c r="SQT4" s="297"/>
      <c r="SQU4" s="297"/>
      <c r="SQV4" s="299"/>
      <c r="SQW4" s="299"/>
      <c r="SQX4" s="297"/>
      <c r="SQY4" s="297"/>
      <c r="SQZ4" s="299"/>
      <c r="SRA4" s="299"/>
      <c r="SRB4" s="297"/>
      <c r="SRC4" s="297"/>
      <c r="SRD4" s="297"/>
      <c r="SRE4" s="16"/>
      <c r="SRF4" s="16"/>
      <c r="SRG4" s="16"/>
      <c r="SRH4" s="16"/>
      <c r="SRJ4" s="297"/>
      <c r="SRK4" s="298"/>
      <c r="SRL4" s="298"/>
      <c r="SRM4" s="297"/>
      <c r="SRN4" s="297"/>
      <c r="SRO4" s="297"/>
      <c r="SRP4" s="298"/>
      <c r="SRQ4" s="299"/>
      <c r="SRR4" s="297"/>
      <c r="SRS4" s="297"/>
      <c r="SRT4" s="299"/>
      <c r="SRU4" s="299"/>
      <c r="SRV4" s="297"/>
      <c r="SRW4" s="297"/>
      <c r="SRX4" s="299"/>
      <c r="SRY4" s="299"/>
      <c r="SRZ4" s="297"/>
      <c r="SSA4" s="297"/>
      <c r="SSB4" s="297"/>
      <c r="SSC4" s="16"/>
      <c r="SSD4" s="16"/>
      <c r="SSE4" s="16"/>
      <c r="SSF4" s="16"/>
      <c r="SSH4" s="297"/>
      <c r="SSI4" s="298"/>
      <c r="SSJ4" s="298"/>
      <c r="SSK4" s="297"/>
      <c r="SSL4" s="297"/>
      <c r="SSM4" s="297"/>
      <c r="SSN4" s="298"/>
      <c r="SSO4" s="299"/>
      <c r="SSP4" s="297"/>
      <c r="SSQ4" s="297"/>
      <c r="SSR4" s="299"/>
      <c r="SSS4" s="299"/>
      <c r="SST4" s="297"/>
      <c r="SSU4" s="297"/>
      <c r="SSV4" s="299"/>
      <c r="SSW4" s="299"/>
      <c r="SSX4" s="297"/>
      <c r="SSY4" s="297"/>
      <c r="SSZ4" s="297"/>
      <c r="STA4" s="16"/>
      <c r="STB4" s="16"/>
      <c r="STC4" s="16"/>
      <c r="STD4" s="16"/>
      <c r="STF4" s="297"/>
      <c r="STG4" s="298"/>
      <c r="STH4" s="298"/>
      <c r="STI4" s="297"/>
      <c r="STJ4" s="297"/>
      <c r="STK4" s="297"/>
      <c r="STL4" s="298"/>
      <c r="STM4" s="299"/>
      <c r="STN4" s="297"/>
      <c r="STO4" s="297"/>
      <c r="STP4" s="299"/>
      <c r="STQ4" s="299"/>
      <c r="STR4" s="297"/>
      <c r="STS4" s="297"/>
      <c r="STT4" s="299"/>
      <c r="STU4" s="299"/>
      <c r="STV4" s="297"/>
      <c r="STW4" s="297"/>
      <c r="STX4" s="297"/>
      <c r="STY4" s="16"/>
      <c r="STZ4" s="16"/>
      <c r="SUA4" s="16"/>
      <c r="SUB4" s="16"/>
      <c r="SUD4" s="297"/>
      <c r="SUE4" s="298"/>
      <c r="SUF4" s="298"/>
      <c r="SUG4" s="297"/>
      <c r="SUH4" s="297"/>
      <c r="SUI4" s="297"/>
      <c r="SUJ4" s="298"/>
      <c r="SUK4" s="299"/>
      <c r="SUL4" s="297"/>
      <c r="SUM4" s="297"/>
      <c r="SUN4" s="299"/>
      <c r="SUO4" s="299"/>
      <c r="SUP4" s="297"/>
      <c r="SUQ4" s="297"/>
      <c r="SUR4" s="299"/>
      <c r="SUS4" s="299"/>
      <c r="SUT4" s="297"/>
      <c r="SUU4" s="297"/>
      <c r="SUV4" s="297"/>
      <c r="SUW4" s="16"/>
      <c r="SUX4" s="16"/>
      <c r="SUY4" s="16"/>
      <c r="SUZ4" s="16"/>
      <c r="SVB4" s="297"/>
      <c r="SVC4" s="298"/>
      <c r="SVD4" s="298"/>
      <c r="SVE4" s="297"/>
      <c r="SVF4" s="297"/>
      <c r="SVG4" s="297"/>
      <c r="SVH4" s="298"/>
      <c r="SVI4" s="299"/>
      <c r="SVJ4" s="297"/>
      <c r="SVK4" s="297"/>
      <c r="SVL4" s="299"/>
      <c r="SVM4" s="299"/>
      <c r="SVN4" s="297"/>
      <c r="SVO4" s="297"/>
      <c r="SVP4" s="299"/>
      <c r="SVQ4" s="299"/>
      <c r="SVR4" s="297"/>
      <c r="SVS4" s="297"/>
      <c r="SVT4" s="297"/>
      <c r="SVU4" s="16"/>
      <c r="SVV4" s="16"/>
      <c r="SVW4" s="16"/>
      <c r="SVX4" s="16"/>
      <c r="SVZ4" s="297"/>
      <c r="SWA4" s="298"/>
      <c r="SWB4" s="298"/>
      <c r="SWC4" s="297"/>
      <c r="SWD4" s="297"/>
      <c r="SWE4" s="297"/>
      <c r="SWF4" s="298"/>
      <c r="SWG4" s="299"/>
      <c r="SWH4" s="297"/>
      <c r="SWI4" s="297"/>
      <c r="SWJ4" s="299"/>
      <c r="SWK4" s="299"/>
      <c r="SWL4" s="297"/>
      <c r="SWM4" s="297"/>
      <c r="SWN4" s="299"/>
      <c r="SWO4" s="299"/>
      <c r="SWP4" s="297"/>
      <c r="SWQ4" s="297"/>
      <c r="SWR4" s="297"/>
      <c r="SWS4" s="16"/>
      <c r="SWT4" s="16"/>
      <c r="SWU4" s="16"/>
      <c r="SWV4" s="16"/>
      <c r="SWX4" s="297"/>
      <c r="SWY4" s="298"/>
      <c r="SWZ4" s="298"/>
      <c r="SXA4" s="297"/>
      <c r="SXB4" s="297"/>
      <c r="SXC4" s="297"/>
      <c r="SXD4" s="298"/>
      <c r="SXE4" s="299"/>
      <c r="SXF4" s="297"/>
      <c r="SXG4" s="297"/>
      <c r="SXH4" s="299"/>
      <c r="SXI4" s="299"/>
      <c r="SXJ4" s="297"/>
      <c r="SXK4" s="297"/>
      <c r="SXL4" s="299"/>
      <c r="SXM4" s="299"/>
      <c r="SXN4" s="297"/>
      <c r="SXO4" s="297"/>
      <c r="SXP4" s="297"/>
      <c r="SXQ4" s="16"/>
      <c r="SXR4" s="16"/>
      <c r="SXS4" s="16"/>
      <c r="SXT4" s="16"/>
      <c r="SXV4" s="297"/>
      <c r="SXW4" s="298"/>
      <c r="SXX4" s="298"/>
      <c r="SXY4" s="297"/>
      <c r="SXZ4" s="297"/>
      <c r="SYA4" s="297"/>
      <c r="SYB4" s="298"/>
      <c r="SYC4" s="299"/>
      <c r="SYD4" s="297"/>
      <c r="SYE4" s="297"/>
      <c r="SYF4" s="299"/>
      <c r="SYG4" s="299"/>
      <c r="SYH4" s="297"/>
      <c r="SYI4" s="297"/>
      <c r="SYJ4" s="299"/>
      <c r="SYK4" s="299"/>
      <c r="SYL4" s="297"/>
      <c r="SYM4" s="297"/>
      <c r="SYN4" s="297"/>
      <c r="SYO4" s="16"/>
      <c r="SYP4" s="16"/>
      <c r="SYQ4" s="16"/>
      <c r="SYR4" s="16"/>
      <c r="SYT4" s="297"/>
      <c r="SYU4" s="298"/>
      <c r="SYV4" s="298"/>
      <c r="SYW4" s="297"/>
      <c r="SYX4" s="297"/>
      <c r="SYY4" s="297"/>
      <c r="SYZ4" s="298"/>
      <c r="SZA4" s="299"/>
      <c r="SZB4" s="297"/>
      <c r="SZC4" s="297"/>
      <c r="SZD4" s="299"/>
      <c r="SZE4" s="299"/>
      <c r="SZF4" s="297"/>
      <c r="SZG4" s="297"/>
      <c r="SZH4" s="299"/>
      <c r="SZI4" s="299"/>
      <c r="SZJ4" s="297"/>
      <c r="SZK4" s="297"/>
      <c r="SZL4" s="297"/>
      <c r="SZM4" s="16"/>
      <c r="SZN4" s="16"/>
      <c r="SZO4" s="16"/>
      <c r="SZP4" s="16"/>
      <c r="SZR4" s="297"/>
      <c r="SZS4" s="298"/>
      <c r="SZT4" s="298"/>
      <c r="SZU4" s="297"/>
      <c r="SZV4" s="297"/>
      <c r="SZW4" s="297"/>
      <c r="SZX4" s="298"/>
      <c r="SZY4" s="299"/>
      <c r="SZZ4" s="297"/>
      <c r="TAA4" s="297"/>
      <c r="TAB4" s="299"/>
      <c r="TAC4" s="299"/>
      <c r="TAD4" s="297"/>
      <c r="TAE4" s="297"/>
      <c r="TAF4" s="299"/>
      <c r="TAG4" s="299"/>
      <c r="TAH4" s="297"/>
      <c r="TAI4" s="297"/>
      <c r="TAJ4" s="297"/>
      <c r="TAK4" s="16"/>
      <c r="TAL4" s="16"/>
      <c r="TAM4" s="16"/>
      <c r="TAN4" s="16"/>
      <c r="TAP4" s="297"/>
      <c r="TAQ4" s="298"/>
      <c r="TAR4" s="298"/>
      <c r="TAS4" s="297"/>
      <c r="TAT4" s="297"/>
      <c r="TAU4" s="297"/>
      <c r="TAV4" s="298"/>
      <c r="TAW4" s="299"/>
      <c r="TAX4" s="297"/>
      <c r="TAY4" s="297"/>
      <c r="TAZ4" s="299"/>
      <c r="TBA4" s="299"/>
      <c r="TBB4" s="297"/>
      <c r="TBC4" s="297"/>
      <c r="TBD4" s="299"/>
      <c r="TBE4" s="299"/>
      <c r="TBF4" s="297"/>
      <c r="TBG4" s="297"/>
      <c r="TBH4" s="297"/>
      <c r="TBI4" s="16"/>
      <c r="TBJ4" s="16"/>
      <c r="TBK4" s="16"/>
      <c r="TBL4" s="16"/>
      <c r="TBN4" s="297"/>
      <c r="TBO4" s="298"/>
      <c r="TBP4" s="298"/>
      <c r="TBQ4" s="297"/>
      <c r="TBR4" s="297"/>
      <c r="TBS4" s="297"/>
      <c r="TBT4" s="298"/>
      <c r="TBU4" s="299"/>
      <c r="TBV4" s="297"/>
      <c r="TBW4" s="297"/>
      <c r="TBX4" s="299"/>
      <c r="TBY4" s="299"/>
      <c r="TBZ4" s="297"/>
      <c r="TCA4" s="297"/>
      <c r="TCB4" s="299"/>
      <c r="TCC4" s="299"/>
      <c r="TCD4" s="297"/>
      <c r="TCE4" s="297"/>
      <c r="TCF4" s="297"/>
      <c r="TCG4" s="16"/>
      <c r="TCH4" s="16"/>
      <c r="TCI4" s="16"/>
      <c r="TCJ4" s="16"/>
      <c r="TCL4" s="297"/>
      <c r="TCM4" s="298"/>
      <c r="TCN4" s="298"/>
      <c r="TCO4" s="297"/>
      <c r="TCP4" s="297"/>
      <c r="TCQ4" s="297"/>
      <c r="TCR4" s="298"/>
      <c r="TCS4" s="299"/>
      <c r="TCT4" s="297"/>
      <c r="TCU4" s="297"/>
      <c r="TCV4" s="299"/>
      <c r="TCW4" s="299"/>
      <c r="TCX4" s="297"/>
      <c r="TCY4" s="297"/>
      <c r="TCZ4" s="299"/>
      <c r="TDA4" s="299"/>
      <c r="TDB4" s="297"/>
      <c r="TDC4" s="297"/>
      <c r="TDD4" s="297"/>
      <c r="TDE4" s="16"/>
      <c r="TDF4" s="16"/>
      <c r="TDG4" s="16"/>
      <c r="TDH4" s="16"/>
      <c r="TDJ4" s="297"/>
      <c r="TDK4" s="298"/>
      <c r="TDL4" s="298"/>
      <c r="TDM4" s="297"/>
      <c r="TDN4" s="297"/>
      <c r="TDO4" s="297"/>
      <c r="TDP4" s="298"/>
      <c r="TDQ4" s="299"/>
      <c r="TDR4" s="297"/>
      <c r="TDS4" s="297"/>
      <c r="TDT4" s="299"/>
      <c r="TDU4" s="299"/>
      <c r="TDV4" s="297"/>
      <c r="TDW4" s="297"/>
      <c r="TDX4" s="299"/>
      <c r="TDY4" s="299"/>
      <c r="TDZ4" s="297"/>
      <c r="TEA4" s="297"/>
      <c r="TEB4" s="297"/>
      <c r="TEC4" s="16"/>
      <c r="TED4" s="16"/>
      <c r="TEE4" s="16"/>
      <c r="TEF4" s="16"/>
      <c r="TEH4" s="297"/>
      <c r="TEI4" s="298"/>
      <c r="TEJ4" s="298"/>
      <c r="TEK4" s="297"/>
      <c r="TEL4" s="297"/>
      <c r="TEM4" s="297"/>
      <c r="TEN4" s="298"/>
      <c r="TEO4" s="299"/>
      <c r="TEP4" s="297"/>
      <c r="TEQ4" s="297"/>
      <c r="TER4" s="299"/>
      <c r="TES4" s="299"/>
      <c r="TET4" s="297"/>
      <c r="TEU4" s="297"/>
      <c r="TEV4" s="299"/>
      <c r="TEW4" s="299"/>
      <c r="TEX4" s="297"/>
      <c r="TEY4" s="297"/>
      <c r="TEZ4" s="297"/>
      <c r="TFA4" s="16"/>
      <c r="TFB4" s="16"/>
      <c r="TFC4" s="16"/>
      <c r="TFD4" s="16"/>
      <c r="TFF4" s="297"/>
      <c r="TFG4" s="298"/>
      <c r="TFH4" s="298"/>
      <c r="TFI4" s="297"/>
      <c r="TFJ4" s="297"/>
      <c r="TFK4" s="297"/>
      <c r="TFL4" s="298"/>
      <c r="TFM4" s="299"/>
      <c r="TFN4" s="297"/>
      <c r="TFO4" s="297"/>
      <c r="TFP4" s="299"/>
      <c r="TFQ4" s="299"/>
      <c r="TFR4" s="297"/>
      <c r="TFS4" s="297"/>
      <c r="TFT4" s="299"/>
      <c r="TFU4" s="299"/>
      <c r="TFV4" s="297"/>
      <c r="TFW4" s="297"/>
      <c r="TFX4" s="297"/>
      <c r="TFY4" s="16"/>
      <c r="TFZ4" s="16"/>
      <c r="TGA4" s="16"/>
      <c r="TGB4" s="16"/>
      <c r="TGD4" s="297"/>
      <c r="TGE4" s="298"/>
      <c r="TGF4" s="298"/>
      <c r="TGG4" s="297"/>
      <c r="TGH4" s="297"/>
      <c r="TGI4" s="297"/>
      <c r="TGJ4" s="298"/>
      <c r="TGK4" s="299"/>
      <c r="TGL4" s="297"/>
      <c r="TGM4" s="297"/>
      <c r="TGN4" s="299"/>
      <c r="TGO4" s="299"/>
      <c r="TGP4" s="297"/>
      <c r="TGQ4" s="297"/>
      <c r="TGR4" s="299"/>
      <c r="TGS4" s="299"/>
      <c r="TGT4" s="297"/>
      <c r="TGU4" s="297"/>
      <c r="TGV4" s="297"/>
      <c r="TGW4" s="16"/>
      <c r="TGX4" s="16"/>
      <c r="TGY4" s="16"/>
      <c r="TGZ4" s="16"/>
      <c r="THB4" s="297"/>
      <c r="THC4" s="298"/>
      <c r="THD4" s="298"/>
      <c r="THE4" s="297"/>
      <c r="THF4" s="297"/>
      <c r="THG4" s="297"/>
      <c r="THH4" s="298"/>
      <c r="THI4" s="299"/>
      <c r="THJ4" s="297"/>
      <c r="THK4" s="297"/>
      <c r="THL4" s="299"/>
      <c r="THM4" s="299"/>
      <c r="THN4" s="297"/>
      <c r="THO4" s="297"/>
      <c r="THP4" s="299"/>
      <c r="THQ4" s="299"/>
      <c r="THR4" s="297"/>
      <c r="THS4" s="297"/>
      <c r="THT4" s="297"/>
      <c r="THU4" s="16"/>
      <c r="THV4" s="16"/>
      <c r="THW4" s="16"/>
      <c r="THX4" s="16"/>
      <c r="THZ4" s="297"/>
      <c r="TIA4" s="298"/>
      <c r="TIB4" s="298"/>
      <c r="TIC4" s="297"/>
      <c r="TID4" s="297"/>
      <c r="TIE4" s="297"/>
      <c r="TIF4" s="298"/>
      <c r="TIG4" s="299"/>
      <c r="TIH4" s="297"/>
      <c r="TII4" s="297"/>
      <c r="TIJ4" s="299"/>
      <c r="TIK4" s="299"/>
      <c r="TIL4" s="297"/>
      <c r="TIM4" s="297"/>
      <c r="TIN4" s="299"/>
      <c r="TIO4" s="299"/>
      <c r="TIP4" s="297"/>
      <c r="TIQ4" s="297"/>
      <c r="TIR4" s="297"/>
      <c r="TIS4" s="16"/>
      <c r="TIT4" s="16"/>
      <c r="TIU4" s="16"/>
      <c r="TIV4" s="16"/>
      <c r="TIX4" s="297"/>
      <c r="TIY4" s="298"/>
      <c r="TIZ4" s="298"/>
      <c r="TJA4" s="297"/>
      <c r="TJB4" s="297"/>
      <c r="TJC4" s="297"/>
      <c r="TJD4" s="298"/>
      <c r="TJE4" s="299"/>
      <c r="TJF4" s="297"/>
      <c r="TJG4" s="297"/>
      <c r="TJH4" s="299"/>
      <c r="TJI4" s="299"/>
      <c r="TJJ4" s="297"/>
      <c r="TJK4" s="297"/>
      <c r="TJL4" s="299"/>
      <c r="TJM4" s="299"/>
      <c r="TJN4" s="297"/>
      <c r="TJO4" s="297"/>
      <c r="TJP4" s="297"/>
      <c r="TJQ4" s="16"/>
      <c r="TJR4" s="16"/>
      <c r="TJS4" s="16"/>
      <c r="TJT4" s="16"/>
      <c r="TJV4" s="297"/>
      <c r="TJW4" s="298"/>
      <c r="TJX4" s="298"/>
      <c r="TJY4" s="297"/>
      <c r="TJZ4" s="297"/>
      <c r="TKA4" s="297"/>
      <c r="TKB4" s="298"/>
      <c r="TKC4" s="299"/>
      <c r="TKD4" s="297"/>
      <c r="TKE4" s="297"/>
      <c r="TKF4" s="299"/>
      <c r="TKG4" s="299"/>
      <c r="TKH4" s="297"/>
      <c r="TKI4" s="297"/>
      <c r="TKJ4" s="299"/>
      <c r="TKK4" s="299"/>
      <c r="TKL4" s="297"/>
      <c r="TKM4" s="297"/>
      <c r="TKN4" s="297"/>
      <c r="TKO4" s="16"/>
      <c r="TKP4" s="16"/>
      <c r="TKQ4" s="16"/>
      <c r="TKR4" s="16"/>
      <c r="TKT4" s="297"/>
      <c r="TKU4" s="298"/>
      <c r="TKV4" s="298"/>
      <c r="TKW4" s="297"/>
      <c r="TKX4" s="297"/>
      <c r="TKY4" s="297"/>
      <c r="TKZ4" s="298"/>
      <c r="TLA4" s="299"/>
      <c r="TLB4" s="297"/>
      <c r="TLC4" s="297"/>
      <c r="TLD4" s="299"/>
      <c r="TLE4" s="299"/>
      <c r="TLF4" s="297"/>
      <c r="TLG4" s="297"/>
      <c r="TLH4" s="299"/>
      <c r="TLI4" s="299"/>
      <c r="TLJ4" s="297"/>
      <c r="TLK4" s="297"/>
      <c r="TLL4" s="297"/>
      <c r="TLM4" s="16"/>
      <c r="TLN4" s="16"/>
      <c r="TLO4" s="16"/>
      <c r="TLP4" s="16"/>
      <c r="TLR4" s="297"/>
      <c r="TLS4" s="298"/>
      <c r="TLT4" s="298"/>
      <c r="TLU4" s="297"/>
      <c r="TLV4" s="297"/>
      <c r="TLW4" s="297"/>
      <c r="TLX4" s="298"/>
      <c r="TLY4" s="299"/>
      <c r="TLZ4" s="297"/>
      <c r="TMA4" s="297"/>
      <c r="TMB4" s="299"/>
      <c r="TMC4" s="299"/>
      <c r="TMD4" s="297"/>
      <c r="TME4" s="297"/>
      <c r="TMF4" s="299"/>
      <c r="TMG4" s="299"/>
      <c r="TMH4" s="297"/>
      <c r="TMI4" s="297"/>
      <c r="TMJ4" s="297"/>
      <c r="TMK4" s="16"/>
      <c r="TML4" s="16"/>
      <c r="TMM4" s="16"/>
      <c r="TMN4" s="16"/>
      <c r="TMP4" s="297"/>
      <c r="TMQ4" s="298"/>
      <c r="TMR4" s="298"/>
      <c r="TMS4" s="297"/>
      <c r="TMT4" s="297"/>
      <c r="TMU4" s="297"/>
      <c r="TMV4" s="298"/>
      <c r="TMW4" s="299"/>
      <c r="TMX4" s="297"/>
      <c r="TMY4" s="297"/>
      <c r="TMZ4" s="299"/>
      <c r="TNA4" s="299"/>
      <c r="TNB4" s="297"/>
      <c r="TNC4" s="297"/>
      <c r="TND4" s="299"/>
      <c r="TNE4" s="299"/>
      <c r="TNF4" s="297"/>
      <c r="TNG4" s="297"/>
      <c r="TNH4" s="297"/>
      <c r="TNI4" s="16"/>
      <c r="TNJ4" s="16"/>
      <c r="TNK4" s="16"/>
      <c r="TNL4" s="16"/>
      <c r="TNN4" s="297"/>
      <c r="TNO4" s="298"/>
      <c r="TNP4" s="298"/>
      <c r="TNQ4" s="297"/>
      <c r="TNR4" s="297"/>
      <c r="TNS4" s="297"/>
      <c r="TNT4" s="298"/>
      <c r="TNU4" s="299"/>
      <c r="TNV4" s="297"/>
      <c r="TNW4" s="297"/>
      <c r="TNX4" s="299"/>
      <c r="TNY4" s="299"/>
      <c r="TNZ4" s="297"/>
      <c r="TOA4" s="297"/>
      <c r="TOB4" s="299"/>
      <c r="TOC4" s="299"/>
      <c r="TOD4" s="297"/>
      <c r="TOE4" s="297"/>
      <c r="TOF4" s="297"/>
      <c r="TOG4" s="16"/>
      <c r="TOH4" s="16"/>
      <c r="TOI4" s="16"/>
      <c r="TOJ4" s="16"/>
      <c r="TOL4" s="297"/>
      <c r="TOM4" s="298"/>
      <c r="TON4" s="298"/>
      <c r="TOO4" s="297"/>
      <c r="TOP4" s="297"/>
      <c r="TOQ4" s="297"/>
      <c r="TOR4" s="298"/>
      <c r="TOS4" s="299"/>
      <c r="TOT4" s="297"/>
      <c r="TOU4" s="297"/>
      <c r="TOV4" s="299"/>
      <c r="TOW4" s="299"/>
      <c r="TOX4" s="297"/>
      <c r="TOY4" s="297"/>
      <c r="TOZ4" s="299"/>
      <c r="TPA4" s="299"/>
      <c r="TPB4" s="297"/>
      <c r="TPC4" s="297"/>
      <c r="TPD4" s="297"/>
      <c r="TPE4" s="16"/>
      <c r="TPF4" s="16"/>
      <c r="TPG4" s="16"/>
      <c r="TPH4" s="16"/>
      <c r="TPJ4" s="297"/>
      <c r="TPK4" s="298"/>
      <c r="TPL4" s="298"/>
      <c r="TPM4" s="297"/>
      <c r="TPN4" s="297"/>
      <c r="TPO4" s="297"/>
      <c r="TPP4" s="298"/>
      <c r="TPQ4" s="299"/>
      <c r="TPR4" s="297"/>
      <c r="TPS4" s="297"/>
      <c r="TPT4" s="299"/>
      <c r="TPU4" s="299"/>
      <c r="TPV4" s="297"/>
      <c r="TPW4" s="297"/>
      <c r="TPX4" s="299"/>
      <c r="TPY4" s="299"/>
      <c r="TPZ4" s="297"/>
      <c r="TQA4" s="297"/>
      <c r="TQB4" s="297"/>
      <c r="TQC4" s="16"/>
      <c r="TQD4" s="16"/>
      <c r="TQE4" s="16"/>
      <c r="TQF4" s="16"/>
      <c r="TQH4" s="297"/>
      <c r="TQI4" s="298"/>
      <c r="TQJ4" s="298"/>
      <c r="TQK4" s="297"/>
      <c r="TQL4" s="297"/>
      <c r="TQM4" s="297"/>
      <c r="TQN4" s="298"/>
      <c r="TQO4" s="299"/>
      <c r="TQP4" s="297"/>
      <c r="TQQ4" s="297"/>
      <c r="TQR4" s="299"/>
      <c r="TQS4" s="299"/>
      <c r="TQT4" s="297"/>
      <c r="TQU4" s="297"/>
      <c r="TQV4" s="299"/>
      <c r="TQW4" s="299"/>
      <c r="TQX4" s="297"/>
      <c r="TQY4" s="297"/>
      <c r="TQZ4" s="297"/>
      <c r="TRA4" s="16"/>
      <c r="TRB4" s="16"/>
      <c r="TRC4" s="16"/>
      <c r="TRD4" s="16"/>
      <c r="TRF4" s="297"/>
      <c r="TRG4" s="298"/>
      <c r="TRH4" s="298"/>
      <c r="TRI4" s="297"/>
      <c r="TRJ4" s="297"/>
      <c r="TRK4" s="297"/>
      <c r="TRL4" s="298"/>
      <c r="TRM4" s="299"/>
      <c r="TRN4" s="297"/>
      <c r="TRO4" s="297"/>
      <c r="TRP4" s="299"/>
      <c r="TRQ4" s="299"/>
      <c r="TRR4" s="297"/>
      <c r="TRS4" s="297"/>
      <c r="TRT4" s="299"/>
      <c r="TRU4" s="299"/>
      <c r="TRV4" s="297"/>
      <c r="TRW4" s="297"/>
      <c r="TRX4" s="297"/>
      <c r="TRY4" s="16"/>
      <c r="TRZ4" s="16"/>
      <c r="TSA4" s="16"/>
      <c r="TSB4" s="16"/>
      <c r="TSD4" s="297"/>
      <c r="TSE4" s="298"/>
      <c r="TSF4" s="298"/>
      <c r="TSG4" s="297"/>
      <c r="TSH4" s="297"/>
      <c r="TSI4" s="297"/>
      <c r="TSJ4" s="298"/>
      <c r="TSK4" s="299"/>
      <c r="TSL4" s="297"/>
      <c r="TSM4" s="297"/>
      <c r="TSN4" s="299"/>
      <c r="TSO4" s="299"/>
      <c r="TSP4" s="297"/>
      <c r="TSQ4" s="297"/>
      <c r="TSR4" s="299"/>
      <c r="TSS4" s="299"/>
      <c r="TST4" s="297"/>
      <c r="TSU4" s="297"/>
      <c r="TSV4" s="297"/>
      <c r="TSW4" s="16"/>
      <c r="TSX4" s="16"/>
      <c r="TSY4" s="16"/>
      <c r="TSZ4" s="16"/>
      <c r="TTB4" s="297"/>
      <c r="TTC4" s="298"/>
      <c r="TTD4" s="298"/>
      <c r="TTE4" s="297"/>
      <c r="TTF4" s="297"/>
      <c r="TTG4" s="297"/>
      <c r="TTH4" s="298"/>
      <c r="TTI4" s="299"/>
      <c r="TTJ4" s="297"/>
      <c r="TTK4" s="297"/>
      <c r="TTL4" s="299"/>
      <c r="TTM4" s="299"/>
      <c r="TTN4" s="297"/>
      <c r="TTO4" s="297"/>
      <c r="TTP4" s="299"/>
      <c r="TTQ4" s="299"/>
      <c r="TTR4" s="297"/>
      <c r="TTS4" s="297"/>
      <c r="TTT4" s="297"/>
      <c r="TTU4" s="16"/>
      <c r="TTV4" s="16"/>
      <c r="TTW4" s="16"/>
      <c r="TTX4" s="16"/>
      <c r="TTZ4" s="297"/>
      <c r="TUA4" s="298"/>
      <c r="TUB4" s="298"/>
      <c r="TUC4" s="297"/>
      <c r="TUD4" s="297"/>
      <c r="TUE4" s="297"/>
      <c r="TUF4" s="298"/>
      <c r="TUG4" s="299"/>
      <c r="TUH4" s="297"/>
      <c r="TUI4" s="297"/>
      <c r="TUJ4" s="299"/>
      <c r="TUK4" s="299"/>
      <c r="TUL4" s="297"/>
      <c r="TUM4" s="297"/>
      <c r="TUN4" s="299"/>
      <c r="TUO4" s="299"/>
      <c r="TUP4" s="297"/>
      <c r="TUQ4" s="297"/>
      <c r="TUR4" s="297"/>
      <c r="TUS4" s="16"/>
      <c r="TUT4" s="16"/>
      <c r="TUU4" s="16"/>
      <c r="TUV4" s="16"/>
      <c r="TUX4" s="297"/>
      <c r="TUY4" s="298"/>
      <c r="TUZ4" s="298"/>
      <c r="TVA4" s="297"/>
      <c r="TVB4" s="297"/>
      <c r="TVC4" s="297"/>
      <c r="TVD4" s="298"/>
      <c r="TVE4" s="299"/>
      <c r="TVF4" s="297"/>
      <c r="TVG4" s="297"/>
      <c r="TVH4" s="299"/>
      <c r="TVI4" s="299"/>
      <c r="TVJ4" s="297"/>
      <c r="TVK4" s="297"/>
      <c r="TVL4" s="299"/>
      <c r="TVM4" s="299"/>
      <c r="TVN4" s="297"/>
      <c r="TVO4" s="297"/>
      <c r="TVP4" s="297"/>
      <c r="TVQ4" s="16"/>
      <c r="TVR4" s="16"/>
      <c r="TVS4" s="16"/>
      <c r="TVT4" s="16"/>
      <c r="TVV4" s="297"/>
      <c r="TVW4" s="298"/>
      <c r="TVX4" s="298"/>
      <c r="TVY4" s="297"/>
      <c r="TVZ4" s="297"/>
      <c r="TWA4" s="297"/>
      <c r="TWB4" s="298"/>
      <c r="TWC4" s="299"/>
      <c r="TWD4" s="297"/>
      <c r="TWE4" s="297"/>
      <c r="TWF4" s="299"/>
      <c r="TWG4" s="299"/>
      <c r="TWH4" s="297"/>
      <c r="TWI4" s="297"/>
      <c r="TWJ4" s="299"/>
      <c r="TWK4" s="299"/>
      <c r="TWL4" s="297"/>
      <c r="TWM4" s="297"/>
      <c r="TWN4" s="297"/>
      <c r="TWO4" s="16"/>
      <c r="TWP4" s="16"/>
      <c r="TWQ4" s="16"/>
      <c r="TWR4" s="16"/>
      <c r="TWT4" s="297"/>
      <c r="TWU4" s="298"/>
      <c r="TWV4" s="298"/>
      <c r="TWW4" s="297"/>
      <c r="TWX4" s="297"/>
      <c r="TWY4" s="297"/>
      <c r="TWZ4" s="298"/>
      <c r="TXA4" s="299"/>
      <c r="TXB4" s="297"/>
      <c r="TXC4" s="297"/>
      <c r="TXD4" s="299"/>
      <c r="TXE4" s="299"/>
      <c r="TXF4" s="297"/>
      <c r="TXG4" s="297"/>
      <c r="TXH4" s="299"/>
      <c r="TXI4" s="299"/>
      <c r="TXJ4" s="297"/>
      <c r="TXK4" s="297"/>
      <c r="TXL4" s="297"/>
      <c r="TXM4" s="16"/>
      <c r="TXN4" s="16"/>
      <c r="TXO4" s="16"/>
      <c r="TXP4" s="16"/>
      <c r="TXR4" s="297"/>
      <c r="TXS4" s="298"/>
      <c r="TXT4" s="298"/>
      <c r="TXU4" s="297"/>
      <c r="TXV4" s="297"/>
      <c r="TXW4" s="297"/>
      <c r="TXX4" s="298"/>
      <c r="TXY4" s="299"/>
      <c r="TXZ4" s="297"/>
      <c r="TYA4" s="297"/>
      <c r="TYB4" s="299"/>
      <c r="TYC4" s="299"/>
      <c r="TYD4" s="297"/>
      <c r="TYE4" s="297"/>
      <c r="TYF4" s="299"/>
      <c r="TYG4" s="299"/>
      <c r="TYH4" s="297"/>
      <c r="TYI4" s="297"/>
      <c r="TYJ4" s="297"/>
      <c r="TYK4" s="16"/>
      <c r="TYL4" s="16"/>
      <c r="TYM4" s="16"/>
      <c r="TYN4" s="16"/>
      <c r="TYP4" s="297"/>
      <c r="TYQ4" s="298"/>
      <c r="TYR4" s="298"/>
      <c r="TYS4" s="297"/>
      <c r="TYT4" s="297"/>
      <c r="TYU4" s="297"/>
      <c r="TYV4" s="298"/>
      <c r="TYW4" s="299"/>
      <c r="TYX4" s="297"/>
      <c r="TYY4" s="297"/>
      <c r="TYZ4" s="299"/>
      <c r="TZA4" s="299"/>
      <c r="TZB4" s="297"/>
      <c r="TZC4" s="297"/>
      <c r="TZD4" s="299"/>
      <c r="TZE4" s="299"/>
      <c r="TZF4" s="297"/>
      <c r="TZG4" s="297"/>
      <c r="TZH4" s="297"/>
      <c r="TZI4" s="16"/>
      <c r="TZJ4" s="16"/>
      <c r="TZK4" s="16"/>
      <c r="TZL4" s="16"/>
      <c r="TZN4" s="297"/>
      <c r="TZO4" s="298"/>
      <c r="TZP4" s="298"/>
      <c r="TZQ4" s="297"/>
      <c r="TZR4" s="297"/>
      <c r="TZS4" s="297"/>
      <c r="TZT4" s="298"/>
      <c r="TZU4" s="299"/>
      <c r="TZV4" s="297"/>
      <c r="TZW4" s="297"/>
      <c r="TZX4" s="299"/>
      <c r="TZY4" s="299"/>
      <c r="TZZ4" s="297"/>
      <c r="UAA4" s="297"/>
      <c r="UAB4" s="299"/>
      <c r="UAC4" s="299"/>
      <c r="UAD4" s="297"/>
      <c r="UAE4" s="297"/>
      <c r="UAF4" s="297"/>
      <c r="UAG4" s="16"/>
      <c r="UAH4" s="16"/>
      <c r="UAI4" s="16"/>
      <c r="UAJ4" s="16"/>
      <c r="UAL4" s="297"/>
      <c r="UAM4" s="298"/>
      <c r="UAN4" s="298"/>
      <c r="UAO4" s="297"/>
      <c r="UAP4" s="297"/>
      <c r="UAQ4" s="297"/>
      <c r="UAR4" s="298"/>
      <c r="UAS4" s="299"/>
      <c r="UAT4" s="297"/>
      <c r="UAU4" s="297"/>
      <c r="UAV4" s="299"/>
      <c r="UAW4" s="299"/>
      <c r="UAX4" s="297"/>
      <c r="UAY4" s="297"/>
      <c r="UAZ4" s="299"/>
      <c r="UBA4" s="299"/>
      <c r="UBB4" s="297"/>
      <c r="UBC4" s="297"/>
      <c r="UBD4" s="297"/>
      <c r="UBE4" s="16"/>
      <c r="UBF4" s="16"/>
      <c r="UBG4" s="16"/>
      <c r="UBH4" s="16"/>
      <c r="UBJ4" s="297"/>
      <c r="UBK4" s="298"/>
      <c r="UBL4" s="298"/>
      <c r="UBM4" s="297"/>
      <c r="UBN4" s="297"/>
      <c r="UBO4" s="297"/>
      <c r="UBP4" s="298"/>
      <c r="UBQ4" s="299"/>
      <c r="UBR4" s="297"/>
      <c r="UBS4" s="297"/>
      <c r="UBT4" s="299"/>
      <c r="UBU4" s="299"/>
      <c r="UBV4" s="297"/>
      <c r="UBW4" s="297"/>
      <c r="UBX4" s="299"/>
      <c r="UBY4" s="299"/>
      <c r="UBZ4" s="297"/>
      <c r="UCA4" s="297"/>
      <c r="UCB4" s="297"/>
      <c r="UCC4" s="16"/>
      <c r="UCD4" s="16"/>
      <c r="UCE4" s="16"/>
      <c r="UCF4" s="16"/>
      <c r="UCH4" s="297"/>
      <c r="UCI4" s="298"/>
      <c r="UCJ4" s="298"/>
      <c r="UCK4" s="297"/>
      <c r="UCL4" s="297"/>
      <c r="UCM4" s="297"/>
      <c r="UCN4" s="298"/>
      <c r="UCO4" s="299"/>
      <c r="UCP4" s="297"/>
      <c r="UCQ4" s="297"/>
      <c r="UCR4" s="299"/>
      <c r="UCS4" s="299"/>
      <c r="UCT4" s="297"/>
      <c r="UCU4" s="297"/>
      <c r="UCV4" s="299"/>
      <c r="UCW4" s="299"/>
      <c r="UCX4" s="297"/>
      <c r="UCY4" s="297"/>
      <c r="UCZ4" s="297"/>
      <c r="UDA4" s="16"/>
      <c r="UDB4" s="16"/>
      <c r="UDC4" s="16"/>
      <c r="UDD4" s="16"/>
      <c r="UDF4" s="297"/>
      <c r="UDG4" s="298"/>
      <c r="UDH4" s="298"/>
      <c r="UDI4" s="297"/>
      <c r="UDJ4" s="297"/>
      <c r="UDK4" s="297"/>
      <c r="UDL4" s="298"/>
      <c r="UDM4" s="299"/>
      <c r="UDN4" s="297"/>
      <c r="UDO4" s="297"/>
      <c r="UDP4" s="299"/>
      <c r="UDQ4" s="299"/>
      <c r="UDR4" s="297"/>
      <c r="UDS4" s="297"/>
      <c r="UDT4" s="299"/>
      <c r="UDU4" s="299"/>
      <c r="UDV4" s="297"/>
      <c r="UDW4" s="297"/>
      <c r="UDX4" s="297"/>
      <c r="UDY4" s="16"/>
      <c r="UDZ4" s="16"/>
      <c r="UEA4" s="16"/>
      <c r="UEB4" s="16"/>
      <c r="UED4" s="297"/>
      <c r="UEE4" s="298"/>
      <c r="UEF4" s="298"/>
      <c r="UEG4" s="297"/>
      <c r="UEH4" s="297"/>
      <c r="UEI4" s="297"/>
      <c r="UEJ4" s="298"/>
      <c r="UEK4" s="299"/>
      <c r="UEL4" s="297"/>
      <c r="UEM4" s="297"/>
      <c r="UEN4" s="299"/>
      <c r="UEO4" s="299"/>
      <c r="UEP4" s="297"/>
      <c r="UEQ4" s="297"/>
      <c r="UER4" s="299"/>
      <c r="UES4" s="299"/>
      <c r="UET4" s="297"/>
      <c r="UEU4" s="297"/>
      <c r="UEV4" s="297"/>
      <c r="UEW4" s="16"/>
      <c r="UEX4" s="16"/>
      <c r="UEY4" s="16"/>
      <c r="UEZ4" s="16"/>
      <c r="UFB4" s="297"/>
      <c r="UFC4" s="298"/>
      <c r="UFD4" s="298"/>
      <c r="UFE4" s="297"/>
      <c r="UFF4" s="297"/>
      <c r="UFG4" s="297"/>
      <c r="UFH4" s="298"/>
      <c r="UFI4" s="299"/>
      <c r="UFJ4" s="297"/>
      <c r="UFK4" s="297"/>
      <c r="UFL4" s="299"/>
      <c r="UFM4" s="299"/>
      <c r="UFN4" s="297"/>
      <c r="UFO4" s="297"/>
      <c r="UFP4" s="299"/>
      <c r="UFQ4" s="299"/>
      <c r="UFR4" s="297"/>
      <c r="UFS4" s="297"/>
      <c r="UFT4" s="297"/>
      <c r="UFU4" s="16"/>
      <c r="UFV4" s="16"/>
      <c r="UFW4" s="16"/>
      <c r="UFX4" s="16"/>
      <c r="UFZ4" s="297"/>
      <c r="UGA4" s="298"/>
      <c r="UGB4" s="298"/>
      <c r="UGC4" s="297"/>
      <c r="UGD4" s="297"/>
      <c r="UGE4" s="297"/>
      <c r="UGF4" s="298"/>
      <c r="UGG4" s="299"/>
      <c r="UGH4" s="297"/>
      <c r="UGI4" s="297"/>
      <c r="UGJ4" s="299"/>
      <c r="UGK4" s="299"/>
      <c r="UGL4" s="297"/>
      <c r="UGM4" s="297"/>
      <c r="UGN4" s="299"/>
      <c r="UGO4" s="299"/>
      <c r="UGP4" s="297"/>
      <c r="UGQ4" s="297"/>
      <c r="UGR4" s="297"/>
      <c r="UGS4" s="16"/>
      <c r="UGT4" s="16"/>
      <c r="UGU4" s="16"/>
      <c r="UGV4" s="16"/>
      <c r="UGX4" s="297"/>
      <c r="UGY4" s="298"/>
      <c r="UGZ4" s="298"/>
      <c r="UHA4" s="297"/>
      <c r="UHB4" s="297"/>
      <c r="UHC4" s="297"/>
      <c r="UHD4" s="298"/>
      <c r="UHE4" s="299"/>
      <c r="UHF4" s="297"/>
      <c r="UHG4" s="297"/>
      <c r="UHH4" s="299"/>
      <c r="UHI4" s="299"/>
      <c r="UHJ4" s="297"/>
      <c r="UHK4" s="297"/>
      <c r="UHL4" s="299"/>
      <c r="UHM4" s="299"/>
      <c r="UHN4" s="297"/>
      <c r="UHO4" s="297"/>
      <c r="UHP4" s="297"/>
      <c r="UHQ4" s="16"/>
      <c r="UHR4" s="16"/>
      <c r="UHS4" s="16"/>
      <c r="UHT4" s="16"/>
      <c r="UHV4" s="297"/>
      <c r="UHW4" s="298"/>
      <c r="UHX4" s="298"/>
      <c r="UHY4" s="297"/>
      <c r="UHZ4" s="297"/>
      <c r="UIA4" s="297"/>
      <c r="UIB4" s="298"/>
      <c r="UIC4" s="299"/>
      <c r="UID4" s="297"/>
      <c r="UIE4" s="297"/>
      <c r="UIF4" s="299"/>
      <c r="UIG4" s="299"/>
      <c r="UIH4" s="297"/>
      <c r="UII4" s="297"/>
      <c r="UIJ4" s="299"/>
      <c r="UIK4" s="299"/>
      <c r="UIL4" s="297"/>
      <c r="UIM4" s="297"/>
      <c r="UIN4" s="297"/>
      <c r="UIO4" s="16"/>
      <c r="UIP4" s="16"/>
      <c r="UIQ4" s="16"/>
      <c r="UIR4" s="16"/>
      <c r="UIT4" s="297"/>
      <c r="UIU4" s="298"/>
      <c r="UIV4" s="298"/>
      <c r="UIW4" s="297"/>
      <c r="UIX4" s="297"/>
      <c r="UIY4" s="297"/>
      <c r="UIZ4" s="298"/>
      <c r="UJA4" s="299"/>
      <c r="UJB4" s="297"/>
      <c r="UJC4" s="297"/>
      <c r="UJD4" s="299"/>
      <c r="UJE4" s="299"/>
      <c r="UJF4" s="297"/>
      <c r="UJG4" s="297"/>
      <c r="UJH4" s="299"/>
      <c r="UJI4" s="299"/>
      <c r="UJJ4" s="297"/>
      <c r="UJK4" s="297"/>
      <c r="UJL4" s="297"/>
      <c r="UJM4" s="16"/>
      <c r="UJN4" s="16"/>
      <c r="UJO4" s="16"/>
      <c r="UJP4" s="16"/>
      <c r="UJR4" s="297"/>
      <c r="UJS4" s="298"/>
      <c r="UJT4" s="298"/>
      <c r="UJU4" s="297"/>
      <c r="UJV4" s="297"/>
      <c r="UJW4" s="297"/>
      <c r="UJX4" s="298"/>
      <c r="UJY4" s="299"/>
      <c r="UJZ4" s="297"/>
      <c r="UKA4" s="297"/>
      <c r="UKB4" s="299"/>
      <c r="UKC4" s="299"/>
      <c r="UKD4" s="297"/>
      <c r="UKE4" s="297"/>
      <c r="UKF4" s="299"/>
      <c r="UKG4" s="299"/>
      <c r="UKH4" s="297"/>
      <c r="UKI4" s="297"/>
      <c r="UKJ4" s="297"/>
      <c r="UKK4" s="16"/>
      <c r="UKL4" s="16"/>
      <c r="UKM4" s="16"/>
      <c r="UKN4" s="16"/>
      <c r="UKP4" s="297"/>
      <c r="UKQ4" s="298"/>
      <c r="UKR4" s="298"/>
      <c r="UKS4" s="297"/>
      <c r="UKT4" s="297"/>
      <c r="UKU4" s="297"/>
      <c r="UKV4" s="298"/>
      <c r="UKW4" s="299"/>
      <c r="UKX4" s="297"/>
      <c r="UKY4" s="297"/>
      <c r="UKZ4" s="299"/>
      <c r="ULA4" s="299"/>
      <c r="ULB4" s="297"/>
      <c r="ULC4" s="297"/>
      <c r="ULD4" s="299"/>
      <c r="ULE4" s="299"/>
      <c r="ULF4" s="297"/>
      <c r="ULG4" s="297"/>
      <c r="ULH4" s="297"/>
      <c r="ULI4" s="16"/>
      <c r="ULJ4" s="16"/>
      <c r="ULK4" s="16"/>
      <c r="ULL4" s="16"/>
      <c r="ULN4" s="297"/>
      <c r="ULO4" s="298"/>
      <c r="ULP4" s="298"/>
      <c r="ULQ4" s="297"/>
      <c r="ULR4" s="297"/>
      <c r="ULS4" s="297"/>
      <c r="ULT4" s="298"/>
      <c r="ULU4" s="299"/>
      <c r="ULV4" s="297"/>
      <c r="ULW4" s="297"/>
      <c r="ULX4" s="299"/>
      <c r="ULY4" s="299"/>
      <c r="ULZ4" s="297"/>
      <c r="UMA4" s="297"/>
      <c r="UMB4" s="299"/>
      <c r="UMC4" s="299"/>
      <c r="UMD4" s="297"/>
      <c r="UME4" s="297"/>
      <c r="UMF4" s="297"/>
      <c r="UMG4" s="16"/>
      <c r="UMH4" s="16"/>
      <c r="UMI4" s="16"/>
      <c r="UMJ4" s="16"/>
      <c r="UML4" s="297"/>
      <c r="UMM4" s="298"/>
      <c r="UMN4" s="298"/>
      <c r="UMO4" s="297"/>
      <c r="UMP4" s="297"/>
      <c r="UMQ4" s="297"/>
      <c r="UMR4" s="298"/>
      <c r="UMS4" s="299"/>
      <c r="UMT4" s="297"/>
      <c r="UMU4" s="297"/>
      <c r="UMV4" s="299"/>
      <c r="UMW4" s="299"/>
      <c r="UMX4" s="297"/>
      <c r="UMY4" s="297"/>
      <c r="UMZ4" s="299"/>
      <c r="UNA4" s="299"/>
      <c r="UNB4" s="297"/>
      <c r="UNC4" s="297"/>
      <c r="UND4" s="297"/>
      <c r="UNE4" s="16"/>
      <c r="UNF4" s="16"/>
      <c r="UNG4" s="16"/>
      <c r="UNH4" s="16"/>
      <c r="UNJ4" s="297"/>
      <c r="UNK4" s="298"/>
      <c r="UNL4" s="298"/>
      <c r="UNM4" s="297"/>
      <c r="UNN4" s="297"/>
      <c r="UNO4" s="297"/>
      <c r="UNP4" s="298"/>
      <c r="UNQ4" s="299"/>
      <c r="UNR4" s="297"/>
      <c r="UNS4" s="297"/>
      <c r="UNT4" s="299"/>
      <c r="UNU4" s="299"/>
      <c r="UNV4" s="297"/>
      <c r="UNW4" s="297"/>
      <c r="UNX4" s="299"/>
      <c r="UNY4" s="299"/>
      <c r="UNZ4" s="297"/>
      <c r="UOA4" s="297"/>
      <c r="UOB4" s="297"/>
      <c r="UOC4" s="16"/>
      <c r="UOD4" s="16"/>
      <c r="UOE4" s="16"/>
      <c r="UOF4" s="16"/>
      <c r="UOH4" s="297"/>
      <c r="UOI4" s="298"/>
      <c r="UOJ4" s="298"/>
      <c r="UOK4" s="297"/>
      <c r="UOL4" s="297"/>
      <c r="UOM4" s="297"/>
      <c r="UON4" s="298"/>
      <c r="UOO4" s="299"/>
      <c r="UOP4" s="297"/>
      <c r="UOQ4" s="297"/>
      <c r="UOR4" s="299"/>
      <c r="UOS4" s="299"/>
      <c r="UOT4" s="297"/>
      <c r="UOU4" s="297"/>
      <c r="UOV4" s="299"/>
      <c r="UOW4" s="299"/>
      <c r="UOX4" s="297"/>
      <c r="UOY4" s="297"/>
      <c r="UOZ4" s="297"/>
      <c r="UPA4" s="16"/>
      <c r="UPB4" s="16"/>
      <c r="UPC4" s="16"/>
      <c r="UPD4" s="16"/>
      <c r="UPF4" s="297"/>
      <c r="UPG4" s="298"/>
      <c r="UPH4" s="298"/>
      <c r="UPI4" s="297"/>
      <c r="UPJ4" s="297"/>
      <c r="UPK4" s="297"/>
      <c r="UPL4" s="298"/>
      <c r="UPM4" s="299"/>
      <c r="UPN4" s="297"/>
      <c r="UPO4" s="297"/>
      <c r="UPP4" s="299"/>
      <c r="UPQ4" s="299"/>
      <c r="UPR4" s="297"/>
      <c r="UPS4" s="297"/>
      <c r="UPT4" s="299"/>
      <c r="UPU4" s="299"/>
      <c r="UPV4" s="297"/>
      <c r="UPW4" s="297"/>
      <c r="UPX4" s="297"/>
      <c r="UPY4" s="16"/>
      <c r="UPZ4" s="16"/>
      <c r="UQA4" s="16"/>
      <c r="UQB4" s="16"/>
      <c r="UQD4" s="297"/>
      <c r="UQE4" s="298"/>
      <c r="UQF4" s="298"/>
      <c r="UQG4" s="297"/>
      <c r="UQH4" s="297"/>
      <c r="UQI4" s="297"/>
      <c r="UQJ4" s="298"/>
      <c r="UQK4" s="299"/>
      <c r="UQL4" s="297"/>
      <c r="UQM4" s="297"/>
      <c r="UQN4" s="299"/>
      <c r="UQO4" s="299"/>
      <c r="UQP4" s="297"/>
      <c r="UQQ4" s="297"/>
      <c r="UQR4" s="299"/>
      <c r="UQS4" s="299"/>
      <c r="UQT4" s="297"/>
      <c r="UQU4" s="297"/>
      <c r="UQV4" s="297"/>
      <c r="UQW4" s="16"/>
      <c r="UQX4" s="16"/>
      <c r="UQY4" s="16"/>
      <c r="UQZ4" s="16"/>
      <c r="URB4" s="297"/>
      <c r="URC4" s="298"/>
      <c r="URD4" s="298"/>
      <c r="URE4" s="297"/>
      <c r="URF4" s="297"/>
      <c r="URG4" s="297"/>
      <c r="URH4" s="298"/>
      <c r="URI4" s="299"/>
      <c r="URJ4" s="297"/>
      <c r="URK4" s="297"/>
      <c r="URL4" s="299"/>
      <c r="URM4" s="299"/>
      <c r="URN4" s="297"/>
      <c r="URO4" s="297"/>
      <c r="URP4" s="299"/>
      <c r="URQ4" s="299"/>
      <c r="URR4" s="297"/>
      <c r="URS4" s="297"/>
      <c r="URT4" s="297"/>
      <c r="URU4" s="16"/>
      <c r="URV4" s="16"/>
      <c r="URW4" s="16"/>
      <c r="URX4" s="16"/>
      <c r="URZ4" s="297"/>
      <c r="USA4" s="298"/>
      <c r="USB4" s="298"/>
      <c r="USC4" s="297"/>
      <c r="USD4" s="297"/>
      <c r="USE4" s="297"/>
      <c r="USF4" s="298"/>
      <c r="USG4" s="299"/>
      <c r="USH4" s="297"/>
      <c r="USI4" s="297"/>
      <c r="USJ4" s="299"/>
      <c r="USK4" s="299"/>
      <c r="USL4" s="297"/>
      <c r="USM4" s="297"/>
      <c r="USN4" s="299"/>
      <c r="USO4" s="299"/>
      <c r="USP4" s="297"/>
      <c r="USQ4" s="297"/>
      <c r="USR4" s="297"/>
      <c r="USS4" s="16"/>
      <c r="UST4" s="16"/>
      <c r="USU4" s="16"/>
      <c r="USV4" s="16"/>
      <c r="USX4" s="297"/>
      <c r="USY4" s="298"/>
      <c r="USZ4" s="298"/>
      <c r="UTA4" s="297"/>
      <c r="UTB4" s="297"/>
      <c r="UTC4" s="297"/>
      <c r="UTD4" s="298"/>
      <c r="UTE4" s="299"/>
      <c r="UTF4" s="297"/>
      <c r="UTG4" s="297"/>
      <c r="UTH4" s="299"/>
      <c r="UTI4" s="299"/>
      <c r="UTJ4" s="297"/>
      <c r="UTK4" s="297"/>
      <c r="UTL4" s="299"/>
      <c r="UTM4" s="299"/>
      <c r="UTN4" s="297"/>
      <c r="UTO4" s="297"/>
      <c r="UTP4" s="297"/>
      <c r="UTQ4" s="16"/>
      <c r="UTR4" s="16"/>
      <c r="UTS4" s="16"/>
      <c r="UTT4" s="16"/>
      <c r="UTV4" s="297"/>
      <c r="UTW4" s="298"/>
      <c r="UTX4" s="298"/>
      <c r="UTY4" s="297"/>
      <c r="UTZ4" s="297"/>
      <c r="UUA4" s="297"/>
      <c r="UUB4" s="298"/>
      <c r="UUC4" s="299"/>
      <c r="UUD4" s="297"/>
      <c r="UUE4" s="297"/>
      <c r="UUF4" s="299"/>
      <c r="UUG4" s="299"/>
      <c r="UUH4" s="297"/>
      <c r="UUI4" s="297"/>
      <c r="UUJ4" s="299"/>
      <c r="UUK4" s="299"/>
      <c r="UUL4" s="297"/>
      <c r="UUM4" s="297"/>
      <c r="UUN4" s="297"/>
      <c r="UUO4" s="16"/>
      <c r="UUP4" s="16"/>
      <c r="UUQ4" s="16"/>
      <c r="UUR4" s="16"/>
      <c r="UUT4" s="297"/>
      <c r="UUU4" s="298"/>
      <c r="UUV4" s="298"/>
      <c r="UUW4" s="297"/>
      <c r="UUX4" s="297"/>
      <c r="UUY4" s="297"/>
      <c r="UUZ4" s="298"/>
      <c r="UVA4" s="299"/>
      <c r="UVB4" s="297"/>
      <c r="UVC4" s="297"/>
      <c r="UVD4" s="299"/>
      <c r="UVE4" s="299"/>
      <c r="UVF4" s="297"/>
      <c r="UVG4" s="297"/>
      <c r="UVH4" s="299"/>
      <c r="UVI4" s="299"/>
      <c r="UVJ4" s="297"/>
      <c r="UVK4" s="297"/>
      <c r="UVL4" s="297"/>
      <c r="UVM4" s="16"/>
      <c r="UVN4" s="16"/>
      <c r="UVO4" s="16"/>
      <c r="UVP4" s="16"/>
      <c r="UVR4" s="297"/>
      <c r="UVS4" s="298"/>
      <c r="UVT4" s="298"/>
      <c r="UVU4" s="297"/>
      <c r="UVV4" s="297"/>
      <c r="UVW4" s="297"/>
      <c r="UVX4" s="298"/>
      <c r="UVY4" s="299"/>
      <c r="UVZ4" s="297"/>
      <c r="UWA4" s="297"/>
      <c r="UWB4" s="299"/>
      <c r="UWC4" s="299"/>
      <c r="UWD4" s="297"/>
      <c r="UWE4" s="297"/>
      <c r="UWF4" s="299"/>
      <c r="UWG4" s="299"/>
      <c r="UWH4" s="297"/>
      <c r="UWI4" s="297"/>
      <c r="UWJ4" s="297"/>
      <c r="UWK4" s="16"/>
      <c r="UWL4" s="16"/>
      <c r="UWM4" s="16"/>
      <c r="UWN4" s="16"/>
      <c r="UWP4" s="297"/>
      <c r="UWQ4" s="298"/>
      <c r="UWR4" s="298"/>
      <c r="UWS4" s="297"/>
      <c r="UWT4" s="297"/>
      <c r="UWU4" s="297"/>
      <c r="UWV4" s="298"/>
      <c r="UWW4" s="299"/>
      <c r="UWX4" s="297"/>
      <c r="UWY4" s="297"/>
      <c r="UWZ4" s="299"/>
      <c r="UXA4" s="299"/>
      <c r="UXB4" s="297"/>
      <c r="UXC4" s="297"/>
      <c r="UXD4" s="299"/>
      <c r="UXE4" s="299"/>
      <c r="UXF4" s="297"/>
      <c r="UXG4" s="297"/>
      <c r="UXH4" s="297"/>
      <c r="UXI4" s="16"/>
      <c r="UXJ4" s="16"/>
      <c r="UXK4" s="16"/>
      <c r="UXL4" s="16"/>
      <c r="UXN4" s="297"/>
      <c r="UXO4" s="298"/>
      <c r="UXP4" s="298"/>
      <c r="UXQ4" s="297"/>
      <c r="UXR4" s="297"/>
      <c r="UXS4" s="297"/>
      <c r="UXT4" s="298"/>
      <c r="UXU4" s="299"/>
      <c r="UXV4" s="297"/>
      <c r="UXW4" s="297"/>
      <c r="UXX4" s="299"/>
      <c r="UXY4" s="299"/>
      <c r="UXZ4" s="297"/>
      <c r="UYA4" s="297"/>
      <c r="UYB4" s="299"/>
      <c r="UYC4" s="299"/>
      <c r="UYD4" s="297"/>
      <c r="UYE4" s="297"/>
      <c r="UYF4" s="297"/>
      <c r="UYG4" s="16"/>
      <c r="UYH4" s="16"/>
      <c r="UYI4" s="16"/>
      <c r="UYJ4" s="16"/>
      <c r="UYL4" s="297"/>
      <c r="UYM4" s="298"/>
      <c r="UYN4" s="298"/>
      <c r="UYO4" s="297"/>
      <c r="UYP4" s="297"/>
      <c r="UYQ4" s="297"/>
      <c r="UYR4" s="298"/>
      <c r="UYS4" s="299"/>
      <c r="UYT4" s="297"/>
      <c r="UYU4" s="297"/>
      <c r="UYV4" s="299"/>
      <c r="UYW4" s="299"/>
      <c r="UYX4" s="297"/>
      <c r="UYY4" s="297"/>
      <c r="UYZ4" s="299"/>
      <c r="UZA4" s="299"/>
      <c r="UZB4" s="297"/>
      <c r="UZC4" s="297"/>
      <c r="UZD4" s="297"/>
      <c r="UZE4" s="16"/>
      <c r="UZF4" s="16"/>
      <c r="UZG4" s="16"/>
      <c r="UZH4" s="16"/>
      <c r="UZJ4" s="297"/>
      <c r="UZK4" s="298"/>
      <c r="UZL4" s="298"/>
      <c r="UZM4" s="297"/>
      <c r="UZN4" s="297"/>
      <c r="UZO4" s="297"/>
      <c r="UZP4" s="298"/>
      <c r="UZQ4" s="299"/>
      <c r="UZR4" s="297"/>
      <c r="UZS4" s="297"/>
      <c r="UZT4" s="299"/>
      <c r="UZU4" s="299"/>
      <c r="UZV4" s="297"/>
      <c r="UZW4" s="297"/>
      <c r="UZX4" s="299"/>
      <c r="UZY4" s="299"/>
      <c r="UZZ4" s="297"/>
      <c r="VAA4" s="297"/>
      <c r="VAB4" s="297"/>
      <c r="VAC4" s="16"/>
      <c r="VAD4" s="16"/>
      <c r="VAE4" s="16"/>
      <c r="VAF4" s="16"/>
      <c r="VAH4" s="297"/>
      <c r="VAI4" s="298"/>
      <c r="VAJ4" s="298"/>
      <c r="VAK4" s="297"/>
      <c r="VAL4" s="297"/>
      <c r="VAM4" s="297"/>
      <c r="VAN4" s="298"/>
      <c r="VAO4" s="299"/>
      <c r="VAP4" s="297"/>
      <c r="VAQ4" s="297"/>
      <c r="VAR4" s="299"/>
      <c r="VAS4" s="299"/>
      <c r="VAT4" s="297"/>
      <c r="VAU4" s="297"/>
      <c r="VAV4" s="299"/>
      <c r="VAW4" s="299"/>
      <c r="VAX4" s="297"/>
      <c r="VAY4" s="297"/>
      <c r="VAZ4" s="297"/>
      <c r="VBA4" s="16"/>
      <c r="VBB4" s="16"/>
      <c r="VBC4" s="16"/>
      <c r="VBD4" s="16"/>
      <c r="VBF4" s="297"/>
      <c r="VBG4" s="298"/>
      <c r="VBH4" s="298"/>
      <c r="VBI4" s="297"/>
      <c r="VBJ4" s="297"/>
      <c r="VBK4" s="297"/>
      <c r="VBL4" s="298"/>
      <c r="VBM4" s="299"/>
      <c r="VBN4" s="297"/>
      <c r="VBO4" s="297"/>
      <c r="VBP4" s="299"/>
      <c r="VBQ4" s="299"/>
      <c r="VBR4" s="297"/>
      <c r="VBS4" s="297"/>
      <c r="VBT4" s="299"/>
      <c r="VBU4" s="299"/>
      <c r="VBV4" s="297"/>
      <c r="VBW4" s="297"/>
      <c r="VBX4" s="297"/>
      <c r="VBY4" s="16"/>
      <c r="VBZ4" s="16"/>
      <c r="VCA4" s="16"/>
      <c r="VCB4" s="16"/>
      <c r="VCD4" s="297"/>
      <c r="VCE4" s="298"/>
      <c r="VCF4" s="298"/>
      <c r="VCG4" s="297"/>
      <c r="VCH4" s="297"/>
      <c r="VCI4" s="297"/>
      <c r="VCJ4" s="298"/>
      <c r="VCK4" s="299"/>
      <c r="VCL4" s="297"/>
      <c r="VCM4" s="297"/>
      <c r="VCN4" s="299"/>
      <c r="VCO4" s="299"/>
      <c r="VCP4" s="297"/>
      <c r="VCQ4" s="297"/>
      <c r="VCR4" s="299"/>
      <c r="VCS4" s="299"/>
      <c r="VCT4" s="297"/>
      <c r="VCU4" s="297"/>
      <c r="VCV4" s="297"/>
      <c r="VCW4" s="16"/>
      <c r="VCX4" s="16"/>
      <c r="VCY4" s="16"/>
      <c r="VCZ4" s="16"/>
      <c r="VDB4" s="297"/>
      <c r="VDC4" s="298"/>
      <c r="VDD4" s="298"/>
      <c r="VDE4" s="297"/>
      <c r="VDF4" s="297"/>
      <c r="VDG4" s="297"/>
      <c r="VDH4" s="298"/>
      <c r="VDI4" s="299"/>
      <c r="VDJ4" s="297"/>
      <c r="VDK4" s="297"/>
      <c r="VDL4" s="299"/>
      <c r="VDM4" s="299"/>
      <c r="VDN4" s="297"/>
      <c r="VDO4" s="297"/>
      <c r="VDP4" s="299"/>
      <c r="VDQ4" s="299"/>
      <c r="VDR4" s="297"/>
      <c r="VDS4" s="297"/>
      <c r="VDT4" s="297"/>
      <c r="VDU4" s="16"/>
      <c r="VDV4" s="16"/>
      <c r="VDW4" s="16"/>
      <c r="VDX4" s="16"/>
      <c r="VDZ4" s="297"/>
      <c r="VEA4" s="298"/>
      <c r="VEB4" s="298"/>
      <c r="VEC4" s="297"/>
      <c r="VED4" s="297"/>
      <c r="VEE4" s="297"/>
      <c r="VEF4" s="298"/>
      <c r="VEG4" s="299"/>
      <c r="VEH4" s="297"/>
      <c r="VEI4" s="297"/>
      <c r="VEJ4" s="299"/>
      <c r="VEK4" s="299"/>
      <c r="VEL4" s="297"/>
      <c r="VEM4" s="297"/>
      <c r="VEN4" s="299"/>
      <c r="VEO4" s="299"/>
      <c r="VEP4" s="297"/>
      <c r="VEQ4" s="297"/>
      <c r="VER4" s="297"/>
      <c r="VES4" s="16"/>
      <c r="VET4" s="16"/>
      <c r="VEU4" s="16"/>
      <c r="VEV4" s="16"/>
      <c r="VEX4" s="297"/>
      <c r="VEY4" s="298"/>
      <c r="VEZ4" s="298"/>
      <c r="VFA4" s="297"/>
      <c r="VFB4" s="297"/>
      <c r="VFC4" s="297"/>
      <c r="VFD4" s="298"/>
      <c r="VFE4" s="299"/>
      <c r="VFF4" s="297"/>
      <c r="VFG4" s="297"/>
      <c r="VFH4" s="299"/>
      <c r="VFI4" s="299"/>
      <c r="VFJ4" s="297"/>
      <c r="VFK4" s="297"/>
      <c r="VFL4" s="299"/>
      <c r="VFM4" s="299"/>
      <c r="VFN4" s="297"/>
      <c r="VFO4" s="297"/>
      <c r="VFP4" s="297"/>
      <c r="VFQ4" s="16"/>
      <c r="VFR4" s="16"/>
      <c r="VFS4" s="16"/>
      <c r="VFT4" s="16"/>
      <c r="VFV4" s="297"/>
      <c r="VFW4" s="298"/>
      <c r="VFX4" s="298"/>
      <c r="VFY4" s="297"/>
      <c r="VFZ4" s="297"/>
      <c r="VGA4" s="297"/>
      <c r="VGB4" s="298"/>
      <c r="VGC4" s="299"/>
      <c r="VGD4" s="297"/>
      <c r="VGE4" s="297"/>
      <c r="VGF4" s="299"/>
      <c r="VGG4" s="299"/>
      <c r="VGH4" s="297"/>
      <c r="VGI4" s="297"/>
      <c r="VGJ4" s="299"/>
      <c r="VGK4" s="299"/>
      <c r="VGL4" s="297"/>
      <c r="VGM4" s="297"/>
      <c r="VGN4" s="297"/>
      <c r="VGO4" s="16"/>
      <c r="VGP4" s="16"/>
      <c r="VGQ4" s="16"/>
      <c r="VGR4" s="16"/>
      <c r="VGT4" s="297"/>
      <c r="VGU4" s="298"/>
      <c r="VGV4" s="298"/>
      <c r="VGW4" s="297"/>
      <c r="VGX4" s="297"/>
      <c r="VGY4" s="297"/>
      <c r="VGZ4" s="298"/>
      <c r="VHA4" s="299"/>
      <c r="VHB4" s="297"/>
      <c r="VHC4" s="297"/>
      <c r="VHD4" s="299"/>
      <c r="VHE4" s="299"/>
      <c r="VHF4" s="297"/>
      <c r="VHG4" s="297"/>
      <c r="VHH4" s="299"/>
      <c r="VHI4" s="299"/>
      <c r="VHJ4" s="297"/>
      <c r="VHK4" s="297"/>
      <c r="VHL4" s="297"/>
      <c r="VHM4" s="16"/>
      <c r="VHN4" s="16"/>
      <c r="VHO4" s="16"/>
      <c r="VHP4" s="16"/>
      <c r="VHR4" s="297"/>
      <c r="VHS4" s="298"/>
      <c r="VHT4" s="298"/>
      <c r="VHU4" s="297"/>
      <c r="VHV4" s="297"/>
      <c r="VHW4" s="297"/>
      <c r="VHX4" s="298"/>
      <c r="VHY4" s="299"/>
      <c r="VHZ4" s="297"/>
      <c r="VIA4" s="297"/>
      <c r="VIB4" s="299"/>
      <c r="VIC4" s="299"/>
      <c r="VID4" s="297"/>
      <c r="VIE4" s="297"/>
      <c r="VIF4" s="299"/>
      <c r="VIG4" s="299"/>
      <c r="VIH4" s="297"/>
      <c r="VII4" s="297"/>
      <c r="VIJ4" s="297"/>
      <c r="VIK4" s="16"/>
      <c r="VIL4" s="16"/>
      <c r="VIM4" s="16"/>
      <c r="VIN4" s="16"/>
      <c r="VIP4" s="297"/>
      <c r="VIQ4" s="298"/>
      <c r="VIR4" s="298"/>
      <c r="VIS4" s="297"/>
      <c r="VIT4" s="297"/>
      <c r="VIU4" s="297"/>
      <c r="VIV4" s="298"/>
      <c r="VIW4" s="299"/>
      <c r="VIX4" s="297"/>
      <c r="VIY4" s="297"/>
      <c r="VIZ4" s="299"/>
      <c r="VJA4" s="299"/>
      <c r="VJB4" s="297"/>
      <c r="VJC4" s="297"/>
      <c r="VJD4" s="299"/>
      <c r="VJE4" s="299"/>
      <c r="VJF4" s="297"/>
      <c r="VJG4" s="297"/>
      <c r="VJH4" s="297"/>
      <c r="VJI4" s="16"/>
      <c r="VJJ4" s="16"/>
      <c r="VJK4" s="16"/>
      <c r="VJL4" s="16"/>
      <c r="VJN4" s="297"/>
      <c r="VJO4" s="298"/>
      <c r="VJP4" s="298"/>
      <c r="VJQ4" s="297"/>
      <c r="VJR4" s="297"/>
      <c r="VJS4" s="297"/>
      <c r="VJT4" s="298"/>
      <c r="VJU4" s="299"/>
      <c r="VJV4" s="297"/>
      <c r="VJW4" s="297"/>
      <c r="VJX4" s="299"/>
      <c r="VJY4" s="299"/>
      <c r="VJZ4" s="297"/>
      <c r="VKA4" s="297"/>
      <c r="VKB4" s="299"/>
      <c r="VKC4" s="299"/>
      <c r="VKD4" s="297"/>
      <c r="VKE4" s="297"/>
      <c r="VKF4" s="297"/>
      <c r="VKG4" s="16"/>
      <c r="VKH4" s="16"/>
      <c r="VKI4" s="16"/>
      <c r="VKJ4" s="16"/>
      <c r="VKL4" s="297"/>
      <c r="VKM4" s="298"/>
      <c r="VKN4" s="298"/>
      <c r="VKO4" s="297"/>
      <c r="VKP4" s="297"/>
      <c r="VKQ4" s="297"/>
      <c r="VKR4" s="298"/>
      <c r="VKS4" s="299"/>
      <c r="VKT4" s="297"/>
      <c r="VKU4" s="297"/>
      <c r="VKV4" s="299"/>
      <c r="VKW4" s="299"/>
      <c r="VKX4" s="297"/>
      <c r="VKY4" s="297"/>
      <c r="VKZ4" s="299"/>
      <c r="VLA4" s="299"/>
      <c r="VLB4" s="297"/>
      <c r="VLC4" s="297"/>
      <c r="VLD4" s="297"/>
      <c r="VLE4" s="16"/>
      <c r="VLF4" s="16"/>
      <c r="VLG4" s="16"/>
      <c r="VLH4" s="16"/>
      <c r="VLJ4" s="297"/>
      <c r="VLK4" s="298"/>
      <c r="VLL4" s="298"/>
      <c r="VLM4" s="297"/>
      <c r="VLN4" s="297"/>
      <c r="VLO4" s="297"/>
      <c r="VLP4" s="298"/>
      <c r="VLQ4" s="299"/>
      <c r="VLR4" s="297"/>
      <c r="VLS4" s="297"/>
      <c r="VLT4" s="299"/>
      <c r="VLU4" s="299"/>
      <c r="VLV4" s="297"/>
      <c r="VLW4" s="297"/>
      <c r="VLX4" s="299"/>
      <c r="VLY4" s="299"/>
      <c r="VLZ4" s="297"/>
      <c r="VMA4" s="297"/>
      <c r="VMB4" s="297"/>
      <c r="VMC4" s="16"/>
      <c r="VMD4" s="16"/>
      <c r="VME4" s="16"/>
      <c r="VMF4" s="16"/>
      <c r="VMH4" s="297"/>
      <c r="VMI4" s="298"/>
      <c r="VMJ4" s="298"/>
      <c r="VMK4" s="297"/>
      <c r="VML4" s="297"/>
      <c r="VMM4" s="297"/>
      <c r="VMN4" s="298"/>
      <c r="VMO4" s="299"/>
      <c r="VMP4" s="297"/>
      <c r="VMQ4" s="297"/>
      <c r="VMR4" s="299"/>
      <c r="VMS4" s="299"/>
      <c r="VMT4" s="297"/>
      <c r="VMU4" s="297"/>
      <c r="VMV4" s="299"/>
      <c r="VMW4" s="299"/>
      <c r="VMX4" s="297"/>
      <c r="VMY4" s="297"/>
      <c r="VMZ4" s="297"/>
      <c r="VNA4" s="16"/>
      <c r="VNB4" s="16"/>
      <c r="VNC4" s="16"/>
      <c r="VND4" s="16"/>
      <c r="VNF4" s="297"/>
      <c r="VNG4" s="298"/>
      <c r="VNH4" s="298"/>
      <c r="VNI4" s="297"/>
      <c r="VNJ4" s="297"/>
      <c r="VNK4" s="297"/>
      <c r="VNL4" s="298"/>
      <c r="VNM4" s="299"/>
      <c r="VNN4" s="297"/>
      <c r="VNO4" s="297"/>
      <c r="VNP4" s="299"/>
      <c r="VNQ4" s="299"/>
      <c r="VNR4" s="297"/>
      <c r="VNS4" s="297"/>
      <c r="VNT4" s="299"/>
      <c r="VNU4" s="299"/>
      <c r="VNV4" s="297"/>
      <c r="VNW4" s="297"/>
      <c r="VNX4" s="297"/>
      <c r="VNY4" s="16"/>
      <c r="VNZ4" s="16"/>
      <c r="VOA4" s="16"/>
      <c r="VOB4" s="16"/>
      <c r="VOD4" s="297"/>
      <c r="VOE4" s="298"/>
      <c r="VOF4" s="298"/>
      <c r="VOG4" s="297"/>
      <c r="VOH4" s="297"/>
      <c r="VOI4" s="297"/>
      <c r="VOJ4" s="298"/>
      <c r="VOK4" s="299"/>
      <c r="VOL4" s="297"/>
      <c r="VOM4" s="297"/>
      <c r="VON4" s="299"/>
      <c r="VOO4" s="299"/>
      <c r="VOP4" s="297"/>
      <c r="VOQ4" s="297"/>
      <c r="VOR4" s="299"/>
      <c r="VOS4" s="299"/>
      <c r="VOT4" s="297"/>
      <c r="VOU4" s="297"/>
      <c r="VOV4" s="297"/>
      <c r="VOW4" s="16"/>
      <c r="VOX4" s="16"/>
      <c r="VOY4" s="16"/>
      <c r="VOZ4" s="16"/>
      <c r="VPB4" s="297"/>
      <c r="VPC4" s="298"/>
      <c r="VPD4" s="298"/>
      <c r="VPE4" s="297"/>
      <c r="VPF4" s="297"/>
      <c r="VPG4" s="297"/>
      <c r="VPH4" s="298"/>
      <c r="VPI4" s="299"/>
      <c r="VPJ4" s="297"/>
      <c r="VPK4" s="297"/>
      <c r="VPL4" s="299"/>
      <c r="VPM4" s="299"/>
      <c r="VPN4" s="297"/>
      <c r="VPO4" s="297"/>
      <c r="VPP4" s="299"/>
      <c r="VPQ4" s="299"/>
      <c r="VPR4" s="297"/>
      <c r="VPS4" s="297"/>
      <c r="VPT4" s="297"/>
      <c r="VPU4" s="16"/>
      <c r="VPV4" s="16"/>
      <c r="VPW4" s="16"/>
      <c r="VPX4" s="16"/>
      <c r="VPZ4" s="297"/>
      <c r="VQA4" s="298"/>
      <c r="VQB4" s="298"/>
      <c r="VQC4" s="297"/>
      <c r="VQD4" s="297"/>
      <c r="VQE4" s="297"/>
      <c r="VQF4" s="298"/>
      <c r="VQG4" s="299"/>
      <c r="VQH4" s="297"/>
      <c r="VQI4" s="297"/>
      <c r="VQJ4" s="299"/>
      <c r="VQK4" s="299"/>
      <c r="VQL4" s="297"/>
      <c r="VQM4" s="297"/>
      <c r="VQN4" s="299"/>
      <c r="VQO4" s="299"/>
      <c r="VQP4" s="297"/>
      <c r="VQQ4" s="297"/>
      <c r="VQR4" s="297"/>
      <c r="VQS4" s="16"/>
      <c r="VQT4" s="16"/>
      <c r="VQU4" s="16"/>
      <c r="VQV4" s="16"/>
      <c r="VQX4" s="297"/>
      <c r="VQY4" s="298"/>
      <c r="VQZ4" s="298"/>
      <c r="VRA4" s="297"/>
      <c r="VRB4" s="297"/>
      <c r="VRC4" s="297"/>
      <c r="VRD4" s="298"/>
      <c r="VRE4" s="299"/>
      <c r="VRF4" s="297"/>
      <c r="VRG4" s="297"/>
      <c r="VRH4" s="299"/>
      <c r="VRI4" s="299"/>
      <c r="VRJ4" s="297"/>
      <c r="VRK4" s="297"/>
      <c r="VRL4" s="299"/>
      <c r="VRM4" s="299"/>
      <c r="VRN4" s="297"/>
      <c r="VRO4" s="297"/>
      <c r="VRP4" s="297"/>
      <c r="VRQ4" s="16"/>
      <c r="VRR4" s="16"/>
      <c r="VRS4" s="16"/>
      <c r="VRT4" s="16"/>
      <c r="VRV4" s="297"/>
      <c r="VRW4" s="298"/>
      <c r="VRX4" s="298"/>
      <c r="VRY4" s="297"/>
      <c r="VRZ4" s="297"/>
      <c r="VSA4" s="297"/>
      <c r="VSB4" s="298"/>
      <c r="VSC4" s="299"/>
      <c r="VSD4" s="297"/>
      <c r="VSE4" s="297"/>
      <c r="VSF4" s="299"/>
      <c r="VSG4" s="299"/>
      <c r="VSH4" s="297"/>
      <c r="VSI4" s="297"/>
      <c r="VSJ4" s="299"/>
      <c r="VSK4" s="299"/>
      <c r="VSL4" s="297"/>
      <c r="VSM4" s="297"/>
      <c r="VSN4" s="297"/>
      <c r="VSO4" s="16"/>
      <c r="VSP4" s="16"/>
      <c r="VSQ4" s="16"/>
      <c r="VSR4" s="16"/>
      <c r="VST4" s="297"/>
      <c r="VSU4" s="298"/>
      <c r="VSV4" s="298"/>
      <c r="VSW4" s="297"/>
      <c r="VSX4" s="297"/>
      <c r="VSY4" s="297"/>
      <c r="VSZ4" s="298"/>
      <c r="VTA4" s="299"/>
      <c r="VTB4" s="297"/>
      <c r="VTC4" s="297"/>
      <c r="VTD4" s="299"/>
      <c r="VTE4" s="299"/>
      <c r="VTF4" s="297"/>
      <c r="VTG4" s="297"/>
      <c r="VTH4" s="299"/>
      <c r="VTI4" s="299"/>
      <c r="VTJ4" s="297"/>
      <c r="VTK4" s="297"/>
      <c r="VTL4" s="297"/>
      <c r="VTM4" s="16"/>
      <c r="VTN4" s="16"/>
      <c r="VTO4" s="16"/>
      <c r="VTP4" s="16"/>
      <c r="VTR4" s="297"/>
      <c r="VTS4" s="298"/>
      <c r="VTT4" s="298"/>
      <c r="VTU4" s="297"/>
      <c r="VTV4" s="297"/>
      <c r="VTW4" s="297"/>
      <c r="VTX4" s="298"/>
      <c r="VTY4" s="299"/>
      <c r="VTZ4" s="297"/>
      <c r="VUA4" s="297"/>
      <c r="VUB4" s="299"/>
      <c r="VUC4" s="299"/>
      <c r="VUD4" s="297"/>
      <c r="VUE4" s="297"/>
      <c r="VUF4" s="299"/>
      <c r="VUG4" s="299"/>
      <c r="VUH4" s="297"/>
      <c r="VUI4" s="297"/>
      <c r="VUJ4" s="297"/>
      <c r="VUK4" s="16"/>
      <c r="VUL4" s="16"/>
      <c r="VUM4" s="16"/>
      <c r="VUN4" s="16"/>
      <c r="VUP4" s="297"/>
      <c r="VUQ4" s="298"/>
      <c r="VUR4" s="298"/>
      <c r="VUS4" s="297"/>
      <c r="VUT4" s="297"/>
      <c r="VUU4" s="297"/>
      <c r="VUV4" s="298"/>
      <c r="VUW4" s="299"/>
      <c r="VUX4" s="297"/>
      <c r="VUY4" s="297"/>
      <c r="VUZ4" s="299"/>
      <c r="VVA4" s="299"/>
      <c r="VVB4" s="297"/>
      <c r="VVC4" s="297"/>
      <c r="VVD4" s="299"/>
      <c r="VVE4" s="299"/>
      <c r="VVF4" s="297"/>
      <c r="VVG4" s="297"/>
      <c r="VVH4" s="297"/>
      <c r="VVI4" s="16"/>
      <c r="VVJ4" s="16"/>
      <c r="VVK4" s="16"/>
      <c r="VVL4" s="16"/>
      <c r="VVN4" s="297"/>
      <c r="VVO4" s="298"/>
      <c r="VVP4" s="298"/>
      <c r="VVQ4" s="297"/>
      <c r="VVR4" s="297"/>
      <c r="VVS4" s="297"/>
      <c r="VVT4" s="298"/>
      <c r="VVU4" s="299"/>
      <c r="VVV4" s="297"/>
      <c r="VVW4" s="297"/>
      <c r="VVX4" s="299"/>
      <c r="VVY4" s="299"/>
      <c r="VVZ4" s="297"/>
      <c r="VWA4" s="297"/>
      <c r="VWB4" s="299"/>
      <c r="VWC4" s="299"/>
      <c r="VWD4" s="297"/>
      <c r="VWE4" s="297"/>
      <c r="VWF4" s="297"/>
      <c r="VWG4" s="16"/>
      <c r="VWH4" s="16"/>
      <c r="VWI4" s="16"/>
      <c r="VWJ4" s="16"/>
      <c r="VWL4" s="297"/>
      <c r="VWM4" s="298"/>
      <c r="VWN4" s="298"/>
      <c r="VWO4" s="297"/>
      <c r="VWP4" s="297"/>
      <c r="VWQ4" s="297"/>
      <c r="VWR4" s="298"/>
      <c r="VWS4" s="299"/>
      <c r="VWT4" s="297"/>
      <c r="VWU4" s="297"/>
      <c r="VWV4" s="299"/>
      <c r="VWW4" s="299"/>
      <c r="VWX4" s="297"/>
      <c r="VWY4" s="297"/>
      <c r="VWZ4" s="299"/>
      <c r="VXA4" s="299"/>
      <c r="VXB4" s="297"/>
      <c r="VXC4" s="297"/>
      <c r="VXD4" s="297"/>
      <c r="VXE4" s="16"/>
      <c r="VXF4" s="16"/>
      <c r="VXG4" s="16"/>
      <c r="VXH4" s="16"/>
      <c r="VXJ4" s="297"/>
      <c r="VXK4" s="298"/>
      <c r="VXL4" s="298"/>
      <c r="VXM4" s="297"/>
      <c r="VXN4" s="297"/>
      <c r="VXO4" s="297"/>
      <c r="VXP4" s="298"/>
      <c r="VXQ4" s="299"/>
      <c r="VXR4" s="297"/>
      <c r="VXS4" s="297"/>
      <c r="VXT4" s="299"/>
      <c r="VXU4" s="299"/>
      <c r="VXV4" s="297"/>
      <c r="VXW4" s="297"/>
      <c r="VXX4" s="299"/>
      <c r="VXY4" s="299"/>
      <c r="VXZ4" s="297"/>
      <c r="VYA4" s="297"/>
      <c r="VYB4" s="297"/>
      <c r="VYC4" s="16"/>
      <c r="VYD4" s="16"/>
      <c r="VYE4" s="16"/>
      <c r="VYF4" s="16"/>
      <c r="VYH4" s="297"/>
      <c r="VYI4" s="298"/>
      <c r="VYJ4" s="298"/>
      <c r="VYK4" s="297"/>
      <c r="VYL4" s="297"/>
      <c r="VYM4" s="297"/>
      <c r="VYN4" s="298"/>
      <c r="VYO4" s="299"/>
      <c r="VYP4" s="297"/>
      <c r="VYQ4" s="297"/>
      <c r="VYR4" s="299"/>
      <c r="VYS4" s="299"/>
      <c r="VYT4" s="297"/>
      <c r="VYU4" s="297"/>
      <c r="VYV4" s="299"/>
      <c r="VYW4" s="299"/>
      <c r="VYX4" s="297"/>
      <c r="VYY4" s="297"/>
      <c r="VYZ4" s="297"/>
      <c r="VZA4" s="16"/>
      <c r="VZB4" s="16"/>
      <c r="VZC4" s="16"/>
      <c r="VZD4" s="16"/>
      <c r="VZF4" s="297"/>
      <c r="VZG4" s="298"/>
      <c r="VZH4" s="298"/>
      <c r="VZI4" s="297"/>
      <c r="VZJ4" s="297"/>
      <c r="VZK4" s="297"/>
      <c r="VZL4" s="298"/>
      <c r="VZM4" s="299"/>
      <c r="VZN4" s="297"/>
      <c r="VZO4" s="297"/>
      <c r="VZP4" s="299"/>
      <c r="VZQ4" s="299"/>
      <c r="VZR4" s="297"/>
      <c r="VZS4" s="297"/>
      <c r="VZT4" s="299"/>
      <c r="VZU4" s="299"/>
      <c r="VZV4" s="297"/>
      <c r="VZW4" s="297"/>
      <c r="VZX4" s="297"/>
      <c r="VZY4" s="16"/>
      <c r="VZZ4" s="16"/>
      <c r="WAA4" s="16"/>
      <c r="WAB4" s="16"/>
      <c r="WAD4" s="297"/>
      <c r="WAE4" s="298"/>
      <c r="WAF4" s="298"/>
      <c r="WAG4" s="297"/>
      <c r="WAH4" s="297"/>
      <c r="WAI4" s="297"/>
      <c r="WAJ4" s="298"/>
      <c r="WAK4" s="299"/>
      <c r="WAL4" s="297"/>
      <c r="WAM4" s="297"/>
      <c r="WAN4" s="299"/>
      <c r="WAO4" s="299"/>
      <c r="WAP4" s="297"/>
      <c r="WAQ4" s="297"/>
      <c r="WAR4" s="299"/>
      <c r="WAS4" s="299"/>
      <c r="WAT4" s="297"/>
      <c r="WAU4" s="297"/>
      <c r="WAV4" s="297"/>
      <c r="WAW4" s="16"/>
      <c r="WAX4" s="16"/>
      <c r="WAY4" s="16"/>
      <c r="WAZ4" s="16"/>
      <c r="WBB4" s="297"/>
      <c r="WBC4" s="298"/>
      <c r="WBD4" s="298"/>
      <c r="WBE4" s="297"/>
      <c r="WBF4" s="297"/>
      <c r="WBG4" s="297"/>
      <c r="WBH4" s="298"/>
      <c r="WBI4" s="299"/>
      <c r="WBJ4" s="297"/>
      <c r="WBK4" s="297"/>
      <c r="WBL4" s="299"/>
      <c r="WBM4" s="299"/>
      <c r="WBN4" s="297"/>
      <c r="WBO4" s="297"/>
      <c r="WBP4" s="299"/>
      <c r="WBQ4" s="299"/>
      <c r="WBR4" s="297"/>
      <c r="WBS4" s="297"/>
      <c r="WBT4" s="297"/>
      <c r="WBU4" s="16"/>
      <c r="WBV4" s="16"/>
      <c r="WBW4" s="16"/>
      <c r="WBX4" s="16"/>
      <c r="WBZ4" s="297"/>
      <c r="WCA4" s="298"/>
      <c r="WCB4" s="298"/>
      <c r="WCC4" s="297"/>
      <c r="WCD4" s="297"/>
      <c r="WCE4" s="297"/>
      <c r="WCF4" s="298"/>
      <c r="WCG4" s="299"/>
      <c r="WCH4" s="297"/>
      <c r="WCI4" s="297"/>
      <c r="WCJ4" s="299"/>
      <c r="WCK4" s="299"/>
      <c r="WCL4" s="297"/>
      <c r="WCM4" s="297"/>
      <c r="WCN4" s="299"/>
      <c r="WCO4" s="299"/>
      <c r="WCP4" s="297"/>
      <c r="WCQ4" s="297"/>
      <c r="WCR4" s="297"/>
      <c r="WCS4" s="16"/>
      <c r="WCT4" s="16"/>
      <c r="WCU4" s="16"/>
      <c r="WCV4" s="16"/>
      <c r="WCX4" s="297"/>
      <c r="WCY4" s="298"/>
      <c r="WCZ4" s="298"/>
      <c r="WDA4" s="297"/>
      <c r="WDB4" s="297"/>
      <c r="WDC4" s="297"/>
      <c r="WDD4" s="298"/>
      <c r="WDE4" s="299"/>
      <c r="WDF4" s="297"/>
      <c r="WDG4" s="297"/>
      <c r="WDH4" s="299"/>
      <c r="WDI4" s="299"/>
      <c r="WDJ4" s="297"/>
      <c r="WDK4" s="297"/>
      <c r="WDL4" s="299"/>
      <c r="WDM4" s="299"/>
      <c r="WDN4" s="297"/>
      <c r="WDO4" s="297"/>
      <c r="WDP4" s="297"/>
      <c r="WDQ4" s="16"/>
      <c r="WDR4" s="16"/>
      <c r="WDS4" s="16"/>
      <c r="WDT4" s="16"/>
      <c r="WDV4" s="297"/>
      <c r="WDW4" s="298"/>
      <c r="WDX4" s="298"/>
      <c r="WDY4" s="297"/>
      <c r="WDZ4" s="297"/>
      <c r="WEA4" s="297"/>
      <c r="WEB4" s="298"/>
      <c r="WEC4" s="299"/>
      <c r="WED4" s="297"/>
      <c r="WEE4" s="297"/>
      <c r="WEF4" s="299"/>
      <c r="WEG4" s="299"/>
      <c r="WEH4" s="297"/>
      <c r="WEI4" s="297"/>
      <c r="WEJ4" s="299"/>
      <c r="WEK4" s="299"/>
      <c r="WEL4" s="297"/>
      <c r="WEM4" s="297"/>
      <c r="WEN4" s="297"/>
      <c r="WEO4" s="16"/>
      <c r="WEP4" s="16"/>
      <c r="WEQ4" s="16"/>
      <c r="WER4" s="16"/>
      <c r="WET4" s="297"/>
      <c r="WEU4" s="298"/>
      <c r="WEV4" s="298"/>
      <c r="WEW4" s="297"/>
      <c r="WEX4" s="297"/>
      <c r="WEY4" s="297"/>
      <c r="WEZ4" s="298"/>
      <c r="WFA4" s="299"/>
      <c r="WFB4" s="297"/>
      <c r="WFC4" s="297"/>
      <c r="WFD4" s="299"/>
      <c r="WFE4" s="299"/>
      <c r="WFF4" s="297"/>
      <c r="WFG4" s="297"/>
      <c r="WFH4" s="299"/>
      <c r="WFI4" s="299"/>
      <c r="WFJ4" s="297"/>
      <c r="WFK4" s="297"/>
      <c r="WFL4" s="297"/>
      <c r="WFM4" s="16"/>
      <c r="WFN4" s="16"/>
      <c r="WFO4" s="16"/>
      <c r="WFP4" s="16"/>
      <c r="WFR4" s="297"/>
      <c r="WFS4" s="298"/>
      <c r="WFT4" s="298"/>
      <c r="WFU4" s="297"/>
      <c r="WFV4" s="297"/>
      <c r="WFW4" s="297"/>
      <c r="WFX4" s="298"/>
      <c r="WFY4" s="299"/>
      <c r="WFZ4" s="297"/>
      <c r="WGA4" s="297"/>
      <c r="WGB4" s="299"/>
      <c r="WGC4" s="299"/>
      <c r="WGD4" s="297"/>
      <c r="WGE4" s="297"/>
      <c r="WGF4" s="299"/>
      <c r="WGG4" s="299"/>
      <c r="WGH4" s="297"/>
      <c r="WGI4" s="297"/>
      <c r="WGJ4" s="297"/>
      <c r="WGK4" s="16"/>
      <c r="WGL4" s="16"/>
      <c r="WGM4" s="16"/>
      <c r="WGN4" s="16"/>
      <c r="WGP4" s="297"/>
      <c r="WGQ4" s="298"/>
      <c r="WGR4" s="298"/>
      <c r="WGS4" s="297"/>
      <c r="WGT4" s="297"/>
      <c r="WGU4" s="297"/>
      <c r="WGV4" s="298"/>
      <c r="WGW4" s="299"/>
      <c r="WGX4" s="297"/>
      <c r="WGY4" s="297"/>
      <c r="WGZ4" s="299"/>
      <c r="WHA4" s="299"/>
      <c r="WHB4" s="297"/>
      <c r="WHC4" s="297"/>
      <c r="WHD4" s="299"/>
      <c r="WHE4" s="299"/>
      <c r="WHF4" s="297"/>
      <c r="WHG4" s="297"/>
      <c r="WHH4" s="297"/>
      <c r="WHI4" s="16"/>
      <c r="WHJ4" s="16"/>
      <c r="WHK4" s="16"/>
      <c r="WHL4" s="16"/>
      <c r="WHN4" s="297"/>
      <c r="WHO4" s="298"/>
      <c r="WHP4" s="298"/>
      <c r="WHQ4" s="297"/>
      <c r="WHR4" s="297"/>
      <c r="WHS4" s="297"/>
      <c r="WHT4" s="298"/>
      <c r="WHU4" s="299"/>
      <c r="WHV4" s="297"/>
      <c r="WHW4" s="297"/>
      <c r="WHX4" s="299"/>
      <c r="WHY4" s="299"/>
      <c r="WHZ4" s="297"/>
      <c r="WIA4" s="297"/>
      <c r="WIB4" s="299"/>
      <c r="WIC4" s="299"/>
      <c r="WID4" s="297"/>
      <c r="WIE4" s="297"/>
      <c r="WIF4" s="297"/>
      <c r="WIG4" s="16"/>
      <c r="WIH4" s="16"/>
      <c r="WII4" s="16"/>
      <c r="WIJ4" s="16"/>
      <c r="WIL4" s="297"/>
      <c r="WIM4" s="298"/>
      <c r="WIN4" s="298"/>
      <c r="WIO4" s="297"/>
      <c r="WIP4" s="297"/>
      <c r="WIQ4" s="297"/>
      <c r="WIR4" s="298"/>
      <c r="WIS4" s="299"/>
      <c r="WIT4" s="297"/>
      <c r="WIU4" s="297"/>
      <c r="WIV4" s="299"/>
      <c r="WIW4" s="299"/>
      <c r="WIX4" s="297"/>
      <c r="WIY4" s="297"/>
      <c r="WIZ4" s="299"/>
      <c r="WJA4" s="299"/>
      <c r="WJB4" s="297"/>
      <c r="WJC4" s="297"/>
      <c r="WJD4" s="297"/>
      <c r="WJE4" s="16"/>
      <c r="WJF4" s="16"/>
      <c r="WJG4" s="16"/>
      <c r="WJH4" s="16"/>
      <c r="WJJ4" s="297"/>
      <c r="WJK4" s="298"/>
      <c r="WJL4" s="298"/>
      <c r="WJM4" s="297"/>
      <c r="WJN4" s="297"/>
      <c r="WJO4" s="297"/>
      <c r="WJP4" s="298"/>
      <c r="WJQ4" s="299"/>
      <c r="WJR4" s="297"/>
      <c r="WJS4" s="297"/>
      <c r="WJT4" s="299"/>
      <c r="WJU4" s="299"/>
      <c r="WJV4" s="297"/>
      <c r="WJW4" s="297"/>
      <c r="WJX4" s="299"/>
      <c r="WJY4" s="299"/>
      <c r="WJZ4" s="297"/>
      <c r="WKA4" s="297"/>
      <c r="WKB4" s="297"/>
      <c r="WKC4" s="16"/>
      <c r="WKD4" s="16"/>
      <c r="WKE4" s="16"/>
      <c r="WKF4" s="16"/>
      <c r="WKH4" s="297"/>
      <c r="WKI4" s="298"/>
      <c r="WKJ4" s="298"/>
      <c r="WKK4" s="297"/>
      <c r="WKL4" s="297"/>
      <c r="WKM4" s="297"/>
      <c r="WKN4" s="298"/>
      <c r="WKO4" s="299"/>
      <c r="WKP4" s="297"/>
      <c r="WKQ4" s="297"/>
      <c r="WKR4" s="299"/>
      <c r="WKS4" s="299"/>
      <c r="WKT4" s="297"/>
      <c r="WKU4" s="297"/>
      <c r="WKV4" s="299"/>
      <c r="WKW4" s="299"/>
      <c r="WKX4" s="297"/>
      <c r="WKY4" s="297"/>
      <c r="WKZ4" s="297"/>
      <c r="WLA4" s="16"/>
      <c r="WLB4" s="16"/>
      <c r="WLC4" s="16"/>
      <c r="WLD4" s="16"/>
      <c r="WLF4" s="297"/>
      <c r="WLG4" s="298"/>
      <c r="WLH4" s="298"/>
      <c r="WLI4" s="297"/>
      <c r="WLJ4" s="297"/>
      <c r="WLK4" s="297"/>
      <c r="WLL4" s="298"/>
      <c r="WLM4" s="299"/>
      <c r="WLN4" s="297"/>
      <c r="WLO4" s="297"/>
      <c r="WLP4" s="299"/>
      <c r="WLQ4" s="299"/>
      <c r="WLR4" s="297"/>
      <c r="WLS4" s="297"/>
      <c r="WLT4" s="299"/>
      <c r="WLU4" s="299"/>
      <c r="WLV4" s="297"/>
      <c r="WLW4" s="297"/>
      <c r="WLX4" s="297"/>
      <c r="WLY4" s="16"/>
      <c r="WLZ4" s="16"/>
      <c r="WMA4" s="16"/>
      <c r="WMB4" s="16"/>
      <c r="WMD4" s="297"/>
      <c r="WME4" s="298"/>
      <c r="WMF4" s="298"/>
      <c r="WMG4" s="297"/>
      <c r="WMH4" s="297"/>
      <c r="WMI4" s="297"/>
      <c r="WMJ4" s="298"/>
      <c r="WMK4" s="299"/>
      <c r="WML4" s="297"/>
      <c r="WMM4" s="297"/>
      <c r="WMN4" s="299"/>
      <c r="WMO4" s="299"/>
      <c r="WMP4" s="297"/>
      <c r="WMQ4" s="297"/>
      <c r="WMR4" s="299"/>
      <c r="WMS4" s="299"/>
      <c r="WMT4" s="297"/>
      <c r="WMU4" s="297"/>
      <c r="WMV4" s="297"/>
      <c r="WMW4" s="16"/>
      <c r="WMX4" s="16"/>
      <c r="WMY4" s="16"/>
      <c r="WMZ4" s="16"/>
      <c r="WNB4" s="297"/>
      <c r="WNC4" s="298"/>
      <c r="WND4" s="298"/>
      <c r="WNE4" s="297"/>
      <c r="WNF4" s="297"/>
      <c r="WNG4" s="297"/>
      <c r="WNH4" s="298"/>
      <c r="WNI4" s="299"/>
      <c r="WNJ4" s="297"/>
      <c r="WNK4" s="297"/>
      <c r="WNL4" s="299"/>
      <c r="WNM4" s="299"/>
      <c r="WNN4" s="297"/>
      <c r="WNO4" s="297"/>
      <c r="WNP4" s="299"/>
      <c r="WNQ4" s="299"/>
      <c r="WNR4" s="297"/>
      <c r="WNS4" s="297"/>
      <c r="WNT4" s="297"/>
      <c r="WNU4" s="16"/>
      <c r="WNV4" s="16"/>
      <c r="WNW4" s="16"/>
      <c r="WNX4" s="16"/>
      <c r="WNZ4" s="297"/>
      <c r="WOA4" s="298"/>
      <c r="WOB4" s="298"/>
      <c r="WOC4" s="297"/>
      <c r="WOD4" s="297"/>
      <c r="WOE4" s="297"/>
      <c r="WOF4" s="298"/>
      <c r="WOG4" s="299"/>
      <c r="WOH4" s="297"/>
      <c r="WOI4" s="297"/>
      <c r="WOJ4" s="299"/>
      <c r="WOK4" s="299"/>
      <c r="WOL4" s="297"/>
      <c r="WOM4" s="297"/>
      <c r="WON4" s="299"/>
      <c r="WOO4" s="299"/>
      <c r="WOP4" s="297"/>
      <c r="WOQ4" s="297"/>
      <c r="WOR4" s="297"/>
      <c r="WOS4" s="16"/>
      <c r="WOT4" s="16"/>
      <c r="WOU4" s="16"/>
      <c r="WOV4" s="16"/>
      <c r="WOX4" s="297"/>
      <c r="WOY4" s="298"/>
      <c r="WOZ4" s="298"/>
      <c r="WPA4" s="297"/>
      <c r="WPB4" s="297"/>
      <c r="WPC4" s="297"/>
      <c r="WPD4" s="298"/>
      <c r="WPE4" s="299"/>
      <c r="WPF4" s="297"/>
      <c r="WPG4" s="297"/>
      <c r="WPH4" s="299"/>
      <c r="WPI4" s="299"/>
      <c r="WPJ4" s="297"/>
      <c r="WPK4" s="297"/>
      <c r="WPL4" s="299"/>
      <c r="WPM4" s="299"/>
      <c r="WPN4" s="297"/>
      <c r="WPO4" s="297"/>
      <c r="WPP4" s="297"/>
      <c r="WPQ4" s="16"/>
      <c r="WPR4" s="16"/>
      <c r="WPS4" s="16"/>
      <c r="WPT4" s="16"/>
      <c r="WPV4" s="297"/>
      <c r="WPW4" s="298"/>
      <c r="WPX4" s="298"/>
      <c r="WPY4" s="297"/>
      <c r="WPZ4" s="297"/>
      <c r="WQA4" s="297"/>
      <c r="WQB4" s="298"/>
      <c r="WQC4" s="299"/>
      <c r="WQD4" s="297"/>
      <c r="WQE4" s="297"/>
      <c r="WQF4" s="299"/>
      <c r="WQG4" s="299"/>
      <c r="WQH4" s="297"/>
      <c r="WQI4" s="297"/>
      <c r="WQJ4" s="299"/>
      <c r="WQK4" s="299"/>
      <c r="WQL4" s="297"/>
      <c r="WQM4" s="297"/>
      <c r="WQN4" s="297"/>
      <c r="WQO4" s="16"/>
      <c r="WQP4" s="16"/>
      <c r="WQQ4" s="16"/>
      <c r="WQR4" s="16"/>
      <c r="WQT4" s="297"/>
      <c r="WQU4" s="298"/>
      <c r="WQV4" s="298"/>
      <c r="WQW4" s="297"/>
      <c r="WQX4" s="297"/>
      <c r="WQY4" s="297"/>
      <c r="WQZ4" s="298"/>
      <c r="WRA4" s="299"/>
      <c r="WRB4" s="297"/>
      <c r="WRC4" s="297"/>
      <c r="WRD4" s="299"/>
      <c r="WRE4" s="299"/>
      <c r="WRF4" s="297"/>
      <c r="WRG4" s="297"/>
      <c r="WRH4" s="299"/>
      <c r="WRI4" s="299"/>
      <c r="WRJ4" s="297"/>
      <c r="WRK4" s="297"/>
      <c r="WRL4" s="297"/>
      <c r="WRM4" s="16"/>
      <c r="WRN4" s="16"/>
      <c r="WRO4" s="16"/>
      <c r="WRP4" s="16"/>
      <c r="WRR4" s="297"/>
      <c r="WRS4" s="298"/>
      <c r="WRT4" s="298"/>
      <c r="WRU4" s="297"/>
      <c r="WRV4" s="297"/>
      <c r="WRW4" s="297"/>
      <c r="WRX4" s="298"/>
      <c r="WRY4" s="299"/>
      <c r="WRZ4" s="297"/>
      <c r="WSA4" s="297"/>
      <c r="WSB4" s="299"/>
      <c r="WSC4" s="299"/>
      <c r="WSD4" s="297"/>
      <c r="WSE4" s="297"/>
      <c r="WSF4" s="299"/>
      <c r="WSG4" s="299"/>
      <c r="WSH4" s="297"/>
      <c r="WSI4" s="297"/>
      <c r="WSJ4" s="297"/>
      <c r="WSK4" s="16"/>
      <c r="WSL4" s="16"/>
      <c r="WSM4" s="16"/>
      <c r="WSN4" s="16"/>
      <c r="WSP4" s="297"/>
      <c r="WSQ4" s="298"/>
      <c r="WSR4" s="298"/>
      <c r="WSS4" s="297"/>
      <c r="WST4" s="297"/>
      <c r="WSU4" s="297"/>
      <c r="WSV4" s="298"/>
      <c r="WSW4" s="299"/>
      <c r="WSX4" s="297"/>
      <c r="WSY4" s="297"/>
      <c r="WSZ4" s="299"/>
      <c r="WTA4" s="299"/>
      <c r="WTB4" s="297"/>
      <c r="WTC4" s="297"/>
      <c r="WTD4" s="299"/>
      <c r="WTE4" s="299"/>
      <c r="WTF4" s="297"/>
      <c r="WTG4" s="297"/>
      <c r="WTH4" s="297"/>
      <c r="WTI4" s="16"/>
      <c r="WTJ4" s="16"/>
      <c r="WTK4" s="16"/>
      <c r="WTL4" s="16"/>
      <c r="WTN4" s="297"/>
      <c r="WTO4" s="298"/>
      <c r="WTP4" s="298"/>
      <c r="WTQ4" s="297"/>
      <c r="WTR4" s="297"/>
      <c r="WTS4" s="297"/>
      <c r="WTT4" s="298"/>
      <c r="WTU4" s="299"/>
      <c r="WTV4" s="297"/>
      <c r="WTW4" s="297"/>
      <c r="WTX4" s="299"/>
      <c r="WTY4" s="299"/>
      <c r="WTZ4" s="297"/>
      <c r="WUA4" s="297"/>
      <c r="WUB4" s="299"/>
      <c r="WUC4" s="299"/>
      <c r="WUD4" s="297"/>
      <c r="WUE4" s="297"/>
      <c r="WUF4" s="297"/>
      <c r="WUG4" s="16"/>
      <c r="WUH4" s="16"/>
      <c r="WUI4" s="16"/>
      <c r="WUJ4" s="16"/>
      <c r="WUL4" s="297"/>
      <c r="WUM4" s="298"/>
      <c r="WUN4" s="298"/>
      <c r="WUO4" s="297"/>
      <c r="WUP4" s="297"/>
      <c r="WUQ4" s="297"/>
      <c r="WUR4" s="298"/>
      <c r="WUS4" s="299"/>
      <c r="WUT4" s="297"/>
      <c r="WUU4" s="297"/>
      <c r="WUV4" s="299"/>
      <c r="WUW4" s="299"/>
      <c r="WUX4" s="297"/>
      <c r="WUY4" s="297"/>
      <c r="WUZ4" s="299"/>
      <c r="WVA4" s="299"/>
      <c r="WVB4" s="297"/>
      <c r="WVC4" s="297"/>
      <c r="WVD4" s="297"/>
      <c r="WVE4" s="16"/>
      <c r="WVF4" s="16"/>
      <c r="WVG4" s="16"/>
      <c r="WVH4" s="16"/>
      <c r="WVJ4" s="297"/>
      <c r="WVK4" s="298"/>
      <c r="WVL4" s="298"/>
      <c r="WVM4" s="297"/>
      <c r="WVN4" s="297"/>
      <c r="WVO4" s="297"/>
      <c r="WVP4" s="298"/>
      <c r="WVQ4" s="299"/>
      <c r="WVR4" s="297"/>
      <c r="WVS4" s="297"/>
      <c r="WVT4" s="299"/>
      <c r="WVU4" s="299"/>
      <c r="WVV4" s="297"/>
      <c r="WVW4" s="297"/>
      <c r="WVX4" s="299"/>
      <c r="WVY4" s="299"/>
      <c r="WVZ4" s="297"/>
      <c r="WWA4" s="297"/>
      <c r="WWB4" s="297"/>
      <c r="WWC4" s="16"/>
      <c r="WWD4" s="16"/>
      <c r="WWE4" s="16"/>
      <c r="WWF4" s="16"/>
      <c r="WWH4" s="297"/>
      <c r="WWI4" s="298"/>
      <c r="WWJ4" s="298"/>
      <c r="WWK4" s="297"/>
      <c r="WWL4" s="297"/>
      <c r="WWM4" s="297"/>
      <c r="WWN4" s="298"/>
      <c r="WWO4" s="299"/>
      <c r="WWP4" s="297"/>
      <c r="WWQ4" s="297"/>
      <c r="WWR4" s="299"/>
      <c r="WWS4" s="299"/>
      <c r="WWT4" s="297"/>
      <c r="WWU4" s="297"/>
      <c r="WWV4" s="299"/>
      <c r="WWW4" s="299"/>
      <c r="WWX4" s="297"/>
      <c r="WWY4" s="297"/>
      <c r="WWZ4" s="297"/>
      <c r="WXA4" s="16"/>
      <c r="WXB4" s="16"/>
      <c r="WXC4" s="16"/>
      <c r="WXD4" s="16"/>
      <c r="WXF4" s="297"/>
      <c r="WXG4" s="298"/>
      <c r="WXH4" s="298"/>
      <c r="WXI4" s="297"/>
      <c r="WXJ4" s="297"/>
      <c r="WXK4" s="297"/>
      <c r="WXL4" s="298"/>
      <c r="WXM4" s="299"/>
      <c r="WXN4" s="297"/>
      <c r="WXO4" s="297"/>
      <c r="WXP4" s="299"/>
      <c r="WXQ4" s="299"/>
      <c r="WXR4" s="297"/>
      <c r="WXS4" s="297"/>
      <c r="WXT4" s="299"/>
      <c r="WXU4" s="299"/>
      <c r="WXV4" s="297"/>
      <c r="WXW4" s="297"/>
      <c r="WXX4" s="297"/>
      <c r="WXY4" s="16"/>
      <c r="WXZ4" s="16"/>
      <c r="WYA4" s="16"/>
      <c r="WYB4" s="16"/>
      <c r="WYD4" s="297"/>
      <c r="WYE4" s="298"/>
      <c r="WYF4" s="298"/>
      <c r="WYG4" s="297"/>
      <c r="WYH4" s="297"/>
      <c r="WYI4" s="297"/>
      <c r="WYJ4" s="298"/>
      <c r="WYK4" s="299"/>
      <c r="WYL4" s="297"/>
      <c r="WYM4" s="297"/>
      <c r="WYN4" s="299"/>
      <c r="WYO4" s="299"/>
      <c r="WYP4" s="297"/>
      <c r="WYQ4" s="297"/>
      <c r="WYR4" s="299"/>
      <c r="WYS4" s="299"/>
      <c r="WYT4" s="297"/>
      <c r="WYU4" s="297"/>
      <c r="WYV4" s="297"/>
      <c r="WYW4" s="16"/>
      <c r="WYX4" s="16"/>
      <c r="WYY4" s="16"/>
      <c r="WYZ4" s="16"/>
      <c r="WZB4" s="297"/>
      <c r="WZC4" s="298"/>
      <c r="WZD4" s="298"/>
      <c r="WZE4" s="297"/>
      <c r="WZF4" s="297"/>
      <c r="WZG4" s="297"/>
      <c r="WZH4" s="298"/>
      <c r="WZI4" s="299"/>
      <c r="WZJ4" s="297"/>
      <c r="WZK4" s="297"/>
      <c r="WZL4" s="299"/>
      <c r="WZM4" s="299"/>
      <c r="WZN4" s="297"/>
      <c r="WZO4" s="297"/>
      <c r="WZP4" s="299"/>
      <c r="WZQ4" s="299"/>
      <c r="WZR4" s="297"/>
      <c r="WZS4" s="297"/>
      <c r="WZT4" s="297"/>
      <c r="WZU4" s="16"/>
      <c r="WZV4" s="16"/>
      <c r="WZW4" s="16"/>
      <c r="WZX4" s="16"/>
      <c r="WZZ4" s="297"/>
      <c r="XAA4" s="298"/>
      <c r="XAB4" s="298"/>
      <c r="XAC4" s="297"/>
      <c r="XAD4" s="297"/>
      <c r="XAE4" s="297"/>
      <c r="XAF4" s="298"/>
      <c r="XAG4" s="299"/>
      <c r="XAH4" s="297"/>
      <c r="XAI4" s="297"/>
      <c r="XAJ4" s="299"/>
      <c r="XAK4" s="299"/>
      <c r="XAL4" s="297"/>
      <c r="XAM4" s="297"/>
      <c r="XAN4" s="299"/>
      <c r="XAO4" s="299"/>
      <c r="XAP4" s="297"/>
      <c r="XAQ4" s="297"/>
      <c r="XAR4" s="297"/>
      <c r="XAS4" s="16"/>
      <c r="XAT4" s="16"/>
      <c r="XAU4" s="16"/>
      <c r="XAV4" s="16"/>
      <c r="XAX4" s="297"/>
      <c r="XAY4" s="298"/>
      <c r="XAZ4" s="298"/>
      <c r="XBA4" s="297"/>
      <c r="XBB4" s="297"/>
      <c r="XBC4" s="297"/>
      <c r="XBD4" s="298"/>
      <c r="XBE4" s="299"/>
      <c r="XBF4" s="297"/>
      <c r="XBG4" s="297"/>
      <c r="XBH4" s="299"/>
      <c r="XBI4" s="299"/>
      <c r="XBJ4" s="297"/>
      <c r="XBK4" s="297"/>
      <c r="XBL4" s="299"/>
      <c r="XBM4" s="299"/>
      <c r="XBN4" s="297"/>
      <c r="XBO4" s="297"/>
      <c r="XBP4" s="297"/>
      <c r="XBQ4" s="16"/>
      <c r="XBR4" s="16"/>
      <c r="XBS4" s="16"/>
      <c r="XBT4" s="16"/>
      <c r="XBV4" s="297"/>
      <c r="XBW4" s="298"/>
      <c r="XBX4" s="298"/>
      <c r="XBY4" s="297"/>
      <c r="XBZ4" s="297"/>
      <c r="XCA4" s="297"/>
      <c r="XCB4" s="298"/>
      <c r="XCC4" s="299"/>
      <c r="XCD4" s="297"/>
      <c r="XCE4" s="297"/>
      <c r="XCF4" s="299"/>
      <c r="XCG4" s="299"/>
      <c r="XCH4" s="297"/>
      <c r="XCI4" s="297"/>
      <c r="XCJ4" s="299"/>
      <c r="XCK4" s="299"/>
      <c r="XCL4" s="297"/>
      <c r="XCM4" s="297"/>
      <c r="XCN4" s="297"/>
      <c r="XCO4" s="16"/>
      <c r="XCP4" s="16"/>
      <c r="XCQ4" s="16"/>
      <c r="XCR4" s="16"/>
      <c r="XCT4" s="297"/>
      <c r="XCU4" s="298"/>
      <c r="XCV4" s="298"/>
      <c r="XCW4" s="297"/>
      <c r="XCX4" s="297"/>
      <c r="XCY4" s="297"/>
      <c r="XCZ4" s="298"/>
      <c r="XDA4" s="299"/>
      <c r="XDB4" s="297"/>
      <c r="XDC4" s="297"/>
      <c r="XDD4" s="299"/>
      <c r="XDE4" s="299"/>
      <c r="XDF4" s="297"/>
      <c r="XDG4" s="297"/>
      <c r="XDH4" s="299"/>
      <c r="XDI4" s="299"/>
      <c r="XDJ4" s="297"/>
      <c r="XDK4" s="297"/>
      <c r="XDL4" s="297"/>
      <c r="XDM4" s="16"/>
      <c r="XDN4" s="16"/>
      <c r="XDO4" s="16"/>
      <c r="XDP4" s="16"/>
      <c r="XDR4" s="297"/>
      <c r="XDS4" s="298"/>
      <c r="XDT4" s="298"/>
      <c r="XDU4" s="297"/>
      <c r="XDV4" s="297"/>
      <c r="XDW4" s="297"/>
      <c r="XDX4" s="298"/>
      <c r="XDY4" s="299"/>
      <c r="XDZ4" s="297"/>
      <c r="XEA4" s="297"/>
      <c r="XEB4" s="299"/>
      <c r="XEC4" s="299"/>
      <c r="XED4" s="297"/>
      <c r="XEE4" s="297"/>
      <c r="XEF4" s="299"/>
      <c r="XEG4" s="299"/>
      <c r="XEH4" s="297"/>
      <c r="XEI4" s="297"/>
      <c r="XEJ4" s="297"/>
      <c r="XEK4" s="16"/>
      <c r="XEL4" s="16"/>
      <c r="XEM4" s="16"/>
      <c r="XEN4" s="16"/>
      <c r="XEP4" s="297"/>
      <c r="XEQ4" s="298"/>
      <c r="XER4" s="298"/>
      <c r="XES4" s="297"/>
      <c r="XET4" s="297"/>
      <c r="XEU4" s="297"/>
      <c r="XEV4" s="298"/>
      <c r="XEW4" s="299"/>
      <c r="XEX4" s="297"/>
      <c r="XEY4" s="297"/>
      <c r="XEZ4" s="299"/>
      <c r="XFA4" s="299"/>
      <c r="XFB4" s="297"/>
      <c r="XFC4" s="297"/>
      <c r="XFD4" s="299"/>
    </row>
    <row r="7" spans="1:3072 3074:6144 6146:9216 9218:12288 12290:15360 15362:16384" ht="20" x14ac:dyDescent="0.4">
      <c r="A7" s="285" t="s">
        <v>297</v>
      </c>
    </row>
    <row r="9" spans="1:3072 3074:6144 6146:9216 9218:12288 12290:15360 15362:16384" ht="52" x14ac:dyDescent="0.25">
      <c r="A9" s="300" t="s">
        <v>139</v>
      </c>
      <c r="B9" s="300" t="s">
        <v>1391</v>
      </c>
      <c r="C9" s="301" t="s">
        <v>593</v>
      </c>
      <c r="D9" s="301" t="s">
        <v>594</v>
      </c>
      <c r="E9" s="300" t="s">
        <v>23</v>
      </c>
      <c r="F9" s="300" t="s">
        <v>178</v>
      </c>
      <c r="G9" s="300" t="s">
        <v>1393</v>
      </c>
      <c r="H9" s="302" t="s">
        <v>1410</v>
      </c>
      <c r="I9" s="303" t="s">
        <v>1411</v>
      </c>
      <c r="J9" s="304" t="s">
        <v>1412</v>
      </c>
      <c r="K9" s="304" t="s">
        <v>1413</v>
      </c>
      <c r="L9" s="305" t="s">
        <v>1414</v>
      </c>
      <c r="M9" s="306" t="s">
        <v>1415</v>
      </c>
      <c r="N9" s="303" t="s">
        <v>1416</v>
      </c>
      <c r="O9" s="304" t="s">
        <v>1417</v>
      </c>
      <c r="P9" s="304" t="s">
        <v>1413</v>
      </c>
      <c r="Q9" s="305" t="s">
        <v>1418</v>
      </c>
      <c r="R9" s="307" t="s">
        <v>1419</v>
      </c>
      <c r="S9" s="308" t="s">
        <v>1420</v>
      </c>
      <c r="T9" s="308" t="s">
        <v>1421</v>
      </c>
      <c r="U9" s="308" t="s">
        <v>1398</v>
      </c>
      <c r="V9" s="308" t="s">
        <v>1422</v>
      </c>
      <c r="W9" s="308" t="s">
        <v>1423</v>
      </c>
      <c r="X9" s="308" t="s">
        <v>1424</v>
      </c>
      <c r="Y9" s="309" t="s">
        <v>1399</v>
      </c>
      <c r="Z9" s="309" t="s">
        <v>1425</v>
      </c>
      <c r="AA9" s="310" t="s">
        <v>1400</v>
      </c>
      <c r="AB9" s="311" t="s">
        <v>1426</v>
      </c>
      <c r="AC9" s="311" t="s">
        <v>1427</v>
      </c>
      <c r="AD9" s="311" t="s">
        <v>1428</v>
      </c>
      <c r="AE9" s="311" t="s">
        <v>1429</v>
      </c>
      <c r="AF9" s="311" t="s">
        <v>1430</v>
      </c>
      <c r="AG9" s="311" t="s">
        <v>1431</v>
      </c>
      <c r="AH9" s="312" t="s">
        <v>1432</v>
      </c>
      <c r="AI9" s="312" t="s">
        <v>1433</v>
      </c>
      <c r="AJ9" s="313" t="s">
        <v>1434</v>
      </c>
      <c r="AK9" s="313" t="s">
        <v>1405</v>
      </c>
      <c r="AL9" s="314" t="s">
        <v>1435</v>
      </c>
      <c r="AM9" s="315" t="s">
        <v>1436</v>
      </c>
      <c r="AN9" s="316" t="s">
        <v>1437</v>
      </c>
      <c r="AO9" s="317" t="s">
        <v>1438</v>
      </c>
      <c r="AP9" s="317" t="s">
        <v>1439</v>
      </c>
      <c r="AQ9" s="317" t="s">
        <v>1440</v>
      </c>
      <c r="AR9" s="317" t="s">
        <v>1441</v>
      </c>
      <c r="AS9" s="318"/>
      <c r="AT9" s="318"/>
      <c r="AU9" s="318"/>
      <c r="AV9" s="318"/>
      <c r="AW9" s="318"/>
      <c r="AX9" s="318"/>
      <c r="AY9" s="318"/>
      <c r="AZ9" s="318"/>
      <c r="BA9" s="319" t="s">
        <v>1442</v>
      </c>
      <c r="BB9" s="319" t="s">
        <v>1443</v>
      </c>
      <c r="BC9" s="319" t="s">
        <v>1444</v>
      </c>
      <c r="BD9" s="320" t="s">
        <v>1445</v>
      </c>
    </row>
    <row r="10" spans="1:3072 3074:6144 6146:9216 9218:12288 12290:15360 15362:16384" x14ac:dyDescent="0.25">
      <c r="A10" s="114" t="str">
        <f>'All Details'!A2</f>
        <v>RC26VIV0007</v>
      </c>
      <c r="B10" s="326" t="str">
        <f>'All Details'!E2</f>
        <v>VIV</v>
      </c>
      <c r="C10" s="322" t="str">
        <f>'All Details'!U2</f>
        <v/>
      </c>
      <c r="D10" s="322" t="str">
        <f>'All Details'!T2</f>
        <v/>
      </c>
      <c r="E10" s="321">
        <f>'All Details'!AB2</f>
        <v>-90</v>
      </c>
      <c r="F10" s="321">
        <f>'All Details'!AC2</f>
        <v>0</v>
      </c>
      <c r="G10" s="322">
        <f>'All Details'!O2</f>
        <v>36</v>
      </c>
      <c r="H10" s="322" t="str">
        <f>'All Details'!DW2</f>
        <v/>
      </c>
      <c r="I10" s="323" t="str">
        <f>'All Details'!DZ2</f>
        <v/>
      </c>
      <c r="J10" s="321" t="str">
        <f>'All Details'!DR2</f>
        <v/>
      </c>
      <c r="K10" s="321" t="s">
        <v>297</v>
      </c>
      <c r="L10" s="321" t="str">
        <f>'All Details'!DU2</f>
        <v/>
      </c>
      <c r="M10" s="322" t="str">
        <f>'All Details'!MX2</f>
        <v/>
      </c>
      <c r="N10" s="323" t="str">
        <f>'All Details'!MR2</f>
        <v/>
      </c>
      <c r="O10" s="321" t="str">
        <f>'All Details'!MS2</f>
        <v/>
      </c>
      <c r="P10" s="321" t="s">
        <v>297</v>
      </c>
      <c r="Q10" s="321" t="str">
        <f>'All Details'!MT2</f>
        <v/>
      </c>
      <c r="R10" s="321" t="str">
        <f>'All Details'!MQ2</f>
        <v/>
      </c>
      <c r="S10" s="323">
        <f>'All Details'!KR2</f>
        <v>46102</v>
      </c>
      <c r="T10" s="322">
        <f>'All Details'!KX2</f>
        <v>35.4</v>
      </c>
      <c r="U10" s="323" t="str">
        <f>'All Details'!IE2</f>
        <v/>
      </c>
      <c r="V10" s="322" t="str">
        <f>'All Details'!IK2</f>
        <v/>
      </c>
      <c r="W10" s="323" t="str">
        <f>'All Details'!KE2</f>
        <v/>
      </c>
      <c r="X10" s="322" t="str">
        <f>'All Details'!KK2</f>
        <v/>
      </c>
      <c r="Y10" s="321" t="str">
        <f>'All Details'!DS2</f>
        <v>TJJ</v>
      </c>
      <c r="Z10" s="321" t="s">
        <v>297</v>
      </c>
      <c r="AA10" s="321">
        <f>'All Details'!DV2</f>
        <v>2107</v>
      </c>
      <c r="AB10" s="323">
        <f>'All Details'!LR2</f>
        <v>46102</v>
      </c>
      <c r="AC10" s="322">
        <f>'All Details'!LX2</f>
        <v>34.4</v>
      </c>
      <c r="AD10" s="321" t="str">
        <f>'All Details'!LS2</f>
        <v>TJJ</v>
      </c>
      <c r="AE10" s="323" t="str">
        <f>'All Details'!LE2</f>
        <v/>
      </c>
      <c r="AF10" s="322" t="str">
        <f>'All Details'!LK2</f>
        <v/>
      </c>
      <c r="AG10" s="321" t="str">
        <f>'All Details'!LF2</f>
        <v/>
      </c>
      <c r="AH10" s="322" t="str">
        <f>'All Details'!AD2</f>
        <v>DRY</v>
      </c>
      <c r="AI10" s="322">
        <f>'All Details'!S2</f>
        <v>0</v>
      </c>
      <c r="AJ10" s="321" t="str">
        <f>'All Details'!DY2</f>
        <v/>
      </c>
      <c r="AK10" s="321" t="str">
        <f>'All Details'!L2</f>
        <v>Yes</v>
      </c>
      <c r="AL10" s="321" t="str">
        <f>'All Details'!DL2</f>
        <v>Good - clean stable surface</v>
      </c>
      <c r="AM10" s="321" t="str">
        <f>'All Details'!AN2</f>
        <v/>
      </c>
      <c r="AN10" s="321"/>
      <c r="AO10" s="321" t="str">
        <f>'All Details'!IA2</f>
        <v/>
      </c>
      <c r="AP10" s="321" t="str">
        <f>'All Details'!IB2</f>
        <v/>
      </c>
      <c r="AQ10" s="321" t="str">
        <f>'All Details'!NN2</f>
        <v/>
      </c>
      <c r="AR10" s="321"/>
    </row>
  </sheetData>
  <sheetProtection algorithmName="SHA-512" hashValue="m1X3tb2kygotaGKkLrBiFE/CViZ0oQg69Z+dlTKdakIA0ndMnhfLZw8DEj13FwcD78yOcnaEMUwSIATwn7Qz/A==" saltValue="eVSKKb4uzNQNOd7XvLkkww==" spinCount="100000" sheet="1" objects="1" scenarios="1"/>
  <dataConsolid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C7EB-2AC8-48C4-A116-961086FB4DF4}">
  <sheetPr codeName="Sheet4"/>
  <dimension ref="A1:UD2"/>
  <sheetViews>
    <sheetView topLeftCell="TC1" zoomScaleNormal="100" workbookViewId="0">
      <selection activeCell="A2" sqref="A2:ZZ2"/>
    </sheetView>
  </sheetViews>
  <sheetFormatPr defaultColWidth="8.81640625" defaultRowHeight="12.5" x14ac:dyDescent="0.25"/>
  <cols>
    <col min="2" max="2" width="10.453125" customWidth="1"/>
    <col min="3" max="3" width="20.1796875" bestFit="1" customWidth="1"/>
    <col min="18" max="18" width="10.453125" customWidth="1"/>
    <col min="19" max="19" width="11.7265625" customWidth="1"/>
    <col min="54" max="54" width="16.26953125" customWidth="1"/>
    <col min="56" max="56" width="9.453125" bestFit="1" customWidth="1"/>
    <col min="57" max="57" width="10.26953125" customWidth="1"/>
    <col min="58" max="58" width="11" customWidth="1"/>
    <col min="96" max="97" width="8.81640625" style="284"/>
    <col min="521" max="521" width="14" customWidth="1"/>
    <col min="522" max="522" width="9.54296875" bestFit="1" customWidth="1"/>
    <col min="523" max="523" width="10.54296875" bestFit="1" customWidth="1"/>
    <col min="542" max="549" width="9.7265625" customWidth="1"/>
  </cols>
  <sheetData>
    <row r="1" spans="1:550" ht="36.5" x14ac:dyDescent="0.25">
      <c r="A1" s="80" t="s">
        <v>851</v>
      </c>
      <c r="B1" s="202" t="s">
        <v>852</v>
      </c>
      <c r="C1" s="202" t="s">
        <v>16</v>
      </c>
      <c r="D1" s="202" t="s">
        <v>853</v>
      </c>
      <c r="E1" s="202" t="s">
        <v>854</v>
      </c>
      <c r="F1" s="202" t="s">
        <v>855</v>
      </c>
      <c r="G1" s="202" t="s">
        <v>37</v>
      </c>
      <c r="H1" s="202" t="s">
        <v>856</v>
      </c>
      <c r="I1" s="202" t="s">
        <v>424</v>
      </c>
      <c r="J1" s="202" t="s">
        <v>426</v>
      </c>
      <c r="K1" s="202" t="s">
        <v>857</v>
      </c>
      <c r="L1" s="202" t="s">
        <v>858</v>
      </c>
      <c r="M1" s="202" t="s">
        <v>75</v>
      </c>
      <c r="N1" s="202" t="s">
        <v>859</v>
      </c>
      <c r="O1" s="202" t="s">
        <v>860</v>
      </c>
      <c r="P1" s="202" t="s">
        <v>861</v>
      </c>
      <c r="Q1" s="202" t="s">
        <v>862</v>
      </c>
      <c r="R1" s="202" t="s">
        <v>863</v>
      </c>
      <c r="S1" s="202" t="s">
        <v>864</v>
      </c>
      <c r="T1" s="202" t="s">
        <v>594</v>
      </c>
      <c r="U1" s="202" t="s">
        <v>593</v>
      </c>
      <c r="V1" s="202" t="s">
        <v>865</v>
      </c>
      <c r="W1" s="202" t="s">
        <v>866</v>
      </c>
      <c r="X1" s="202" t="s">
        <v>867</v>
      </c>
      <c r="Y1" s="202" t="s">
        <v>868</v>
      </c>
      <c r="Z1" s="202" t="s">
        <v>869</v>
      </c>
      <c r="AA1" s="202" t="s">
        <v>429</v>
      </c>
      <c r="AB1" s="202" t="s">
        <v>870</v>
      </c>
      <c r="AC1" s="202" t="s">
        <v>871</v>
      </c>
      <c r="AD1" s="202" t="s">
        <v>872</v>
      </c>
      <c r="AE1" s="202" t="s">
        <v>873</v>
      </c>
      <c r="AF1" s="202" t="s">
        <v>874</v>
      </c>
      <c r="AG1" s="202" t="s">
        <v>875</v>
      </c>
      <c r="AH1" s="202" t="s">
        <v>876</v>
      </c>
      <c r="AI1" s="202" t="s">
        <v>877</v>
      </c>
      <c r="AJ1" s="202" t="s">
        <v>878</v>
      </c>
      <c r="AK1" s="202" t="s">
        <v>879</v>
      </c>
      <c r="AL1" s="202" t="s">
        <v>880</v>
      </c>
      <c r="AM1" s="202" t="s">
        <v>881</v>
      </c>
      <c r="AN1" s="202" t="s">
        <v>882</v>
      </c>
      <c r="AO1" s="202" t="s">
        <v>883</v>
      </c>
      <c r="AP1" s="202" t="s">
        <v>884</v>
      </c>
      <c r="AQ1" s="202" t="s">
        <v>885</v>
      </c>
      <c r="AR1" s="202" t="s">
        <v>886</v>
      </c>
      <c r="AS1" s="202" t="s">
        <v>887</v>
      </c>
      <c r="AT1" s="202" t="s">
        <v>888</v>
      </c>
      <c r="AU1" s="202" t="s">
        <v>889</v>
      </c>
      <c r="AV1" s="202" t="s">
        <v>890</v>
      </c>
      <c r="AW1" s="202" t="s">
        <v>891</v>
      </c>
      <c r="AX1" s="202" t="s">
        <v>892</v>
      </c>
      <c r="AY1" s="202" t="s">
        <v>893</v>
      </c>
      <c r="AZ1" s="202" t="s">
        <v>894</v>
      </c>
      <c r="BA1" s="202" t="s">
        <v>895</v>
      </c>
      <c r="BB1" s="202" t="s">
        <v>896</v>
      </c>
      <c r="BC1" s="202" t="s">
        <v>897</v>
      </c>
      <c r="BD1" s="202" t="s">
        <v>898</v>
      </c>
      <c r="BE1" s="202" t="s">
        <v>899</v>
      </c>
      <c r="BF1" s="202" t="s">
        <v>900</v>
      </c>
      <c r="BG1" s="202" t="s">
        <v>901</v>
      </c>
      <c r="BH1" s="202" t="s">
        <v>902</v>
      </c>
      <c r="BI1" s="202" t="s">
        <v>903</v>
      </c>
      <c r="BJ1" s="203" t="s">
        <v>904</v>
      </c>
      <c r="BK1" s="203" t="s">
        <v>905</v>
      </c>
      <c r="BL1" s="203" t="s">
        <v>906</v>
      </c>
      <c r="BM1" s="203" t="s">
        <v>907</v>
      </c>
      <c r="BN1" s="202" t="s">
        <v>908</v>
      </c>
      <c r="BO1" s="202" t="s">
        <v>909</v>
      </c>
      <c r="BP1" s="202" t="s">
        <v>910</v>
      </c>
      <c r="BQ1" s="202" t="s">
        <v>911</v>
      </c>
      <c r="BR1" s="202" t="s">
        <v>912</v>
      </c>
      <c r="BS1" s="202" t="s">
        <v>913</v>
      </c>
      <c r="BT1" s="202" t="s">
        <v>914</v>
      </c>
      <c r="BU1" s="202" t="s">
        <v>915</v>
      </c>
      <c r="BV1" s="202" t="s">
        <v>916</v>
      </c>
      <c r="BW1" s="202" t="s">
        <v>917</v>
      </c>
      <c r="BX1" s="202" t="s">
        <v>918</v>
      </c>
      <c r="BY1" s="202" t="s">
        <v>919</v>
      </c>
      <c r="BZ1" s="202" t="s">
        <v>920</v>
      </c>
      <c r="CA1" s="202" t="s">
        <v>921</v>
      </c>
      <c r="CB1" s="202" t="s">
        <v>922</v>
      </c>
      <c r="CC1" s="202" t="s">
        <v>923</v>
      </c>
      <c r="CD1" s="202" t="s">
        <v>924</v>
      </c>
      <c r="CE1" s="202" t="s">
        <v>925</v>
      </c>
      <c r="CF1" s="202" t="s">
        <v>926</v>
      </c>
      <c r="CG1" s="202" t="s">
        <v>927</v>
      </c>
      <c r="CH1" s="202" t="s">
        <v>928</v>
      </c>
      <c r="CI1" s="202" t="s">
        <v>929</v>
      </c>
      <c r="CJ1" s="202" t="s">
        <v>930</v>
      </c>
      <c r="CK1" s="202" t="s">
        <v>931</v>
      </c>
      <c r="CL1" s="202" t="s">
        <v>932</v>
      </c>
      <c r="CM1" s="202" t="s">
        <v>933</v>
      </c>
      <c r="CN1" s="202" t="s">
        <v>934</v>
      </c>
      <c r="CO1" s="202" t="s">
        <v>935</v>
      </c>
      <c r="CP1" s="202" t="s">
        <v>936</v>
      </c>
      <c r="CQ1" s="202" t="s">
        <v>937</v>
      </c>
      <c r="CR1" s="204" t="s">
        <v>938</v>
      </c>
      <c r="CS1" s="204" t="s">
        <v>939</v>
      </c>
      <c r="CT1" s="202" t="s">
        <v>940</v>
      </c>
      <c r="CU1" s="202" t="s">
        <v>941</v>
      </c>
      <c r="CV1" s="202" t="s">
        <v>942</v>
      </c>
      <c r="CW1" s="202" t="s">
        <v>943</v>
      </c>
      <c r="CX1" s="202" t="s">
        <v>944</v>
      </c>
      <c r="CY1" s="202" t="s">
        <v>945</v>
      </c>
      <c r="CZ1" s="202" t="s">
        <v>946</v>
      </c>
      <c r="DA1" s="202" t="s">
        <v>947</v>
      </c>
      <c r="DB1" s="205" t="s">
        <v>193</v>
      </c>
      <c r="DC1" s="204" t="s">
        <v>948</v>
      </c>
      <c r="DD1" s="204" t="s">
        <v>949</v>
      </c>
      <c r="DE1" s="204" t="s">
        <v>950</v>
      </c>
      <c r="DF1" s="204" t="s">
        <v>951</v>
      </c>
      <c r="DG1" s="204" t="s">
        <v>952</v>
      </c>
      <c r="DH1" s="204" t="s">
        <v>953</v>
      </c>
      <c r="DI1" s="202" t="s">
        <v>954</v>
      </c>
      <c r="DJ1" s="202" t="s">
        <v>955</v>
      </c>
      <c r="DK1" s="202" t="s">
        <v>956</v>
      </c>
      <c r="DL1" s="202" t="s">
        <v>957</v>
      </c>
      <c r="DM1" s="202" t="s">
        <v>958</v>
      </c>
      <c r="DN1" s="202" t="s">
        <v>959</v>
      </c>
      <c r="DO1" s="202" t="s">
        <v>960</v>
      </c>
      <c r="DP1" s="202" t="s">
        <v>961</v>
      </c>
      <c r="DQ1" s="203" t="s">
        <v>962</v>
      </c>
      <c r="DR1" s="203" t="s">
        <v>963</v>
      </c>
      <c r="DS1" s="203" t="s">
        <v>964</v>
      </c>
      <c r="DT1" s="203" t="s">
        <v>965</v>
      </c>
      <c r="DU1" s="203" t="s">
        <v>966</v>
      </c>
      <c r="DV1" s="203" t="s">
        <v>967</v>
      </c>
      <c r="DW1" s="203" t="s">
        <v>968</v>
      </c>
      <c r="DX1" s="202" t="s">
        <v>969</v>
      </c>
      <c r="DY1" s="202" t="s">
        <v>970</v>
      </c>
      <c r="DZ1" s="202" t="s">
        <v>971</v>
      </c>
      <c r="EA1" s="202" t="s">
        <v>972</v>
      </c>
      <c r="EB1" s="202" t="s">
        <v>973</v>
      </c>
      <c r="EC1" s="202" t="s">
        <v>974</v>
      </c>
      <c r="ED1" s="202" t="s">
        <v>975</v>
      </c>
      <c r="EE1" s="202" t="s">
        <v>976</v>
      </c>
      <c r="EF1" s="202" t="s">
        <v>977</v>
      </c>
      <c r="EG1" s="202" t="s">
        <v>978</v>
      </c>
      <c r="EH1" s="202" t="s">
        <v>979</v>
      </c>
      <c r="EI1" s="202" t="s">
        <v>980</v>
      </c>
      <c r="EJ1" s="202" t="s">
        <v>981</v>
      </c>
      <c r="EK1" s="202" t="s">
        <v>982</v>
      </c>
      <c r="EL1" s="202" t="s">
        <v>983</v>
      </c>
      <c r="EM1" s="202" t="s">
        <v>984</v>
      </c>
      <c r="EN1" s="202" t="s">
        <v>985</v>
      </c>
      <c r="EO1" s="202" t="s">
        <v>986</v>
      </c>
      <c r="EP1" s="206" t="s">
        <v>987</v>
      </c>
      <c r="EQ1" s="206" t="s">
        <v>988</v>
      </c>
      <c r="ER1" s="202" t="s">
        <v>989</v>
      </c>
      <c r="ES1" s="202" t="s">
        <v>990</v>
      </c>
      <c r="ET1" s="202" t="s">
        <v>991</v>
      </c>
      <c r="EU1" s="202" t="s">
        <v>992</v>
      </c>
      <c r="EV1" s="202" t="s">
        <v>993</v>
      </c>
      <c r="EW1" s="202" t="s">
        <v>994</v>
      </c>
      <c r="EX1" s="202" t="s">
        <v>995</v>
      </c>
      <c r="EY1" s="202" t="s">
        <v>996</v>
      </c>
      <c r="EZ1" s="202" t="s">
        <v>997</v>
      </c>
      <c r="FA1" s="202" t="s">
        <v>998</v>
      </c>
      <c r="FB1" s="206" t="s">
        <v>999</v>
      </c>
      <c r="FC1" s="206" t="s">
        <v>1000</v>
      </c>
      <c r="FD1" s="202" t="s">
        <v>1001</v>
      </c>
      <c r="FE1" s="202" t="s">
        <v>1002</v>
      </c>
      <c r="FF1" s="202" t="s">
        <v>1003</v>
      </c>
      <c r="FG1" s="202" t="s">
        <v>1004</v>
      </c>
      <c r="FH1" s="202" t="s">
        <v>1005</v>
      </c>
      <c r="FI1" s="206" t="s">
        <v>1006</v>
      </c>
      <c r="FJ1" s="206" t="s">
        <v>1007</v>
      </c>
      <c r="FK1" s="202" t="s">
        <v>1008</v>
      </c>
      <c r="FL1" s="202" t="s">
        <v>1009</v>
      </c>
      <c r="FM1" s="202" t="s">
        <v>1010</v>
      </c>
      <c r="FN1" s="202" t="s">
        <v>1011</v>
      </c>
      <c r="FO1" s="202" t="s">
        <v>1012</v>
      </c>
      <c r="FP1" s="202" t="s">
        <v>1013</v>
      </c>
      <c r="FQ1" s="202" t="s">
        <v>1014</v>
      </c>
      <c r="FR1" s="202" t="s">
        <v>1015</v>
      </c>
      <c r="FS1" s="202" t="s">
        <v>1016</v>
      </c>
      <c r="FT1" s="202" t="s">
        <v>1017</v>
      </c>
      <c r="FU1" s="202" t="s">
        <v>1018</v>
      </c>
      <c r="FV1" s="202" t="s">
        <v>1019</v>
      </c>
      <c r="FW1" s="202" t="s">
        <v>1020</v>
      </c>
      <c r="FX1" s="202" t="s">
        <v>1021</v>
      </c>
      <c r="FY1" s="202" t="s">
        <v>1022</v>
      </c>
      <c r="FZ1" s="202" t="s">
        <v>1023</v>
      </c>
      <c r="GA1" s="202" t="s">
        <v>1024</v>
      </c>
      <c r="GB1" s="202" t="s">
        <v>1025</v>
      </c>
      <c r="GC1" s="202" t="s">
        <v>1026</v>
      </c>
      <c r="GD1" s="202" t="s">
        <v>1027</v>
      </c>
      <c r="GE1" s="202" t="s">
        <v>1028</v>
      </c>
      <c r="GF1" s="202" t="s">
        <v>1029</v>
      </c>
      <c r="GG1" s="202" t="s">
        <v>1030</v>
      </c>
      <c r="GH1" s="202" t="s">
        <v>1031</v>
      </c>
      <c r="GI1" s="202" t="s">
        <v>1032</v>
      </c>
      <c r="GJ1" s="202" t="s">
        <v>1033</v>
      </c>
      <c r="GK1" s="202" t="s">
        <v>1034</v>
      </c>
      <c r="GL1" s="202" t="s">
        <v>1035</v>
      </c>
      <c r="GM1" s="202" t="s">
        <v>1036</v>
      </c>
      <c r="GN1" s="207" t="s">
        <v>1037</v>
      </c>
      <c r="GO1" s="207" t="s">
        <v>1038</v>
      </c>
      <c r="GP1" s="207" t="s">
        <v>1039</v>
      </c>
      <c r="GQ1" s="207" t="s">
        <v>1040</v>
      </c>
      <c r="GR1" s="207" t="s">
        <v>1041</v>
      </c>
      <c r="GS1" s="207" t="s">
        <v>1042</v>
      </c>
      <c r="GT1" s="207" t="s">
        <v>1043</v>
      </c>
      <c r="GU1" s="207" t="s">
        <v>1044</v>
      </c>
      <c r="GV1" s="205" t="s">
        <v>1045</v>
      </c>
      <c r="GW1" s="205" t="s">
        <v>1046</v>
      </c>
      <c r="GX1" s="205" t="s">
        <v>1047</v>
      </c>
      <c r="GY1" s="205" t="s">
        <v>1048</v>
      </c>
      <c r="GZ1" s="205" t="s">
        <v>1049</v>
      </c>
      <c r="HA1" s="208" t="s">
        <v>1050</v>
      </c>
      <c r="HB1" s="208" t="s">
        <v>1051</v>
      </c>
      <c r="HC1" s="208" t="s">
        <v>1052</v>
      </c>
      <c r="HD1" s="208" t="s">
        <v>1053</v>
      </c>
      <c r="HE1" s="208" t="s">
        <v>1054</v>
      </c>
      <c r="HF1" s="208" t="s">
        <v>1055</v>
      </c>
      <c r="HG1" s="208" t="s">
        <v>1056</v>
      </c>
      <c r="HH1" s="208" t="s">
        <v>1057</v>
      </c>
      <c r="HI1" s="208" t="s">
        <v>1058</v>
      </c>
      <c r="HJ1" s="208" t="s">
        <v>1059</v>
      </c>
      <c r="HK1" s="208" t="s">
        <v>1060</v>
      </c>
      <c r="HL1" s="208" t="s">
        <v>1061</v>
      </c>
      <c r="HM1" s="208" t="s">
        <v>1062</v>
      </c>
      <c r="HN1" s="209" t="s">
        <v>1063</v>
      </c>
      <c r="HO1" s="209" t="s">
        <v>1064</v>
      </c>
      <c r="HP1" s="209" t="s">
        <v>1065</v>
      </c>
      <c r="HQ1" s="209" t="s">
        <v>1066</v>
      </c>
      <c r="HR1" s="209" t="s">
        <v>1067</v>
      </c>
      <c r="HS1" s="209" t="s">
        <v>1068</v>
      </c>
      <c r="HT1" s="209" t="s">
        <v>1069</v>
      </c>
      <c r="HU1" s="209" t="s">
        <v>1070</v>
      </c>
      <c r="HV1" s="209" t="s">
        <v>1071</v>
      </c>
      <c r="HW1" s="209" t="s">
        <v>1072</v>
      </c>
      <c r="HX1" s="209" t="s">
        <v>1073</v>
      </c>
      <c r="HY1" s="209" t="s">
        <v>1074</v>
      </c>
      <c r="HZ1" s="209" t="s">
        <v>1075</v>
      </c>
      <c r="IA1" s="210" t="s">
        <v>1076</v>
      </c>
      <c r="IB1" s="210" t="s">
        <v>1077</v>
      </c>
      <c r="IC1" s="210" t="s">
        <v>1078</v>
      </c>
      <c r="ID1" s="210" t="s">
        <v>1079</v>
      </c>
      <c r="IE1" s="210" t="s">
        <v>1080</v>
      </c>
      <c r="IF1" s="210" t="s">
        <v>1081</v>
      </c>
      <c r="IG1" s="210" t="s">
        <v>1082</v>
      </c>
      <c r="IH1" s="210" t="s">
        <v>1083</v>
      </c>
      <c r="II1" s="210" t="s">
        <v>1084</v>
      </c>
      <c r="IJ1" s="210" t="s">
        <v>1085</v>
      </c>
      <c r="IK1" s="210" t="s">
        <v>1086</v>
      </c>
      <c r="IL1" s="210" t="s">
        <v>1087</v>
      </c>
      <c r="IM1" s="210" t="s">
        <v>1088</v>
      </c>
      <c r="IN1" s="211" t="s">
        <v>1089</v>
      </c>
      <c r="IO1" s="211" t="s">
        <v>1090</v>
      </c>
      <c r="IP1" s="211" t="s">
        <v>1091</v>
      </c>
      <c r="IQ1" s="211" t="s">
        <v>1092</v>
      </c>
      <c r="IR1" s="211" t="s">
        <v>1093</v>
      </c>
      <c r="IS1" s="211" t="s">
        <v>1094</v>
      </c>
      <c r="IT1" s="211" t="s">
        <v>1095</v>
      </c>
      <c r="IU1" s="211" t="s">
        <v>1096</v>
      </c>
      <c r="IV1" s="211" t="s">
        <v>1097</v>
      </c>
      <c r="IW1" s="211" t="s">
        <v>1098</v>
      </c>
      <c r="IX1" s="211" t="s">
        <v>1099</v>
      </c>
      <c r="IY1" s="211" t="s">
        <v>1100</v>
      </c>
      <c r="IZ1" s="211" t="s">
        <v>1101</v>
      </c>
      <c r="JA1" s="212" t="s">
        <v>1102</v>
      </c>
      <c r="JB1" s="212" t="s">
        <v>1103</v>
      </c>
      <c r="JC1" s="212" t="s">
        <v>1104</v>
      </c>
      <c r="JD1" s="212" t="s">
        <v>1105</v>
      </c>
      <c r="JE1" s="212" t="s">
        <v>1106</v>
      </c>
      <c r="JF1" s="212" t="s">
        <v>1107</v>
      </c>
      <c r="JG1" s="212" t="s">
        <v>1108</v>
      </c>
      <c r="JH1" s="212" t="s">
        <v>1109</v>
      </c>
      <c r="JI1" s="212" t="s">
        <v>1110</v>
      </c>
      <c r="JJ1" s="212" t="s">
        <v>1111</v>
      </c>
      <c r="JK1" s="212" t="s">
        <v>1112</v>
      </c>
      <c r="JL1" s="212" t="s">
        <v>1113</v>
      </c>
      <c r="JM1" s="212" t="s">
        <v>1114</v>
      </c>
      <c r="JN1" s="213" t="s">
        <v>1115</v>
      </c>
      <c r="JO1" s="213" t="s">
        <v>1116</v>
      </c>
      <c r="JP1" s="213" t="s">
        <v>1117</v>
      </c>
      <c r="JQ1" s="213" t="s">
        <v>1118</v>
      </c>
      <c r="JR1" s="213" t="s">
        <v>1119</v>
      </c>
      <c r="JS1" s="213" t="s">
        <v>1120</v>
      </c>
      <c r="JT1" s="213" t="s">
        <v>1121</v>
      </c>
      <c r="JU1" s="213" t="s">
        <v>1122</v>
      </c>
      <c r="JV1" s="213" t="s">
        <v>1123</v>
      </c>
      <c r="JW1" s="213" t="s">
        <v>1124</v>
      </c>
      <c r="JX1" s="213" t="s">
        <v>1125</v>
      </c>
      <c r="JY1" s="213" t="s">
        <v>1126</v>
      </c>
      <c r="JZ1" s="213" t="s">
        <v>1127</v>
      </c>
      <c r="KA1" s="214" t="s">
        <v>1128</v>
      </c>
      <c r="KB1" s="214" t="s">
        <v>1129</v>
      </c>
      <c r="KC1" s="214" t="s">
        <v>1130</v>
      </c>
      <c r="KD1" s="214" t="s">
        <v>1131</v>
      </c>
      <c r="KE1" s="214" t="s">
        <v>1132</v>
      </c>
      <c r="KF1" s="214" t="s">
        <v>1133</v>
      </c>
      <c r="KG1" s="214" t="s">
        <v>1134</v>
      </c>
      <c r="KH1" s="214" t="s">
        <v>1135</v>
      </c>
      <c r="KI1" s="214" t="s">
        <v>1136</v>
      </c>
      <c r="KJ1" s="214" t="s">
        <v>1137</v>
      </c>
      <c r="KK1" s="214" t="s">
        <v>1138</v>
      </c>
      <c r="KL1" s="214" t="s">
        <v>1139</v>
      </c>
      <c r="KM1" s="214" t="s">
        <v>1140</v>
      </c>
      <c r="KN1" s="215" t="s">
        <v>1141</v>
      </c>
      <c r="KO1" s="215" t="s">
        <v>1142</v>
      </c>
      <c r="KP1" s="215" t="s">
        <v>1143</v>
      </c>
      <c r="KQ1" s="215" t="s">
        <v>1144</v>
      </c>
      <c r="KR1" s="215" t="s">
        <v>1145</v>
      </c>
      <c r="KS1" s="215" t="s">
        <v>1146</v>
      </c>
      <c r="KT1" s="215" t="s">
        <v>1147</v>
      </c>
      <c r="KU1" s="215" t="s">
        <v>1148</v>
      </c>
      <c r="KV1" s="215" t="s">
        <v>1149</v>
      </c>
      <c r="KW1" s="215" t="s">
        <v>1150</v>
      </c>
      <c r="KX1" s="215" t="s">
        <v>1151</v>
      </c>
      <c r="KY1" s="215" t="s">
        <v>1152</v>
      </c>
      <c r="KZ1" s="215" t="s">
        <v>1153</v>
      </c>
      <c r="LA1" s="213" t="s">
        <v>1154</v>
      </c>
      <c r="LB1" s="213" t="s">
        <v>1155</v>
      </c>
      <c r="LC1" s="213" t="s">
        <v>1156</v>
      </c>
      <c r="LD1" s="213" t="s">
        <v>1157</v>
      </c>
      <c r="LE1" s="213" t="s">
        <v>1158</v>
      </c>
      <c r="LF1" s="213" t="s">
        <v>1159</v>
      </c>
      <c r="LG1" s="213" t="s">
        <v>1160</v>
      </c>
      <c r="LH1" s="213" t="s">
        <v>1161</v>
      </c>
      <c r="LI1" s="213" t="s">
        <v>1162</v>
      </c>
      <c r="LJ1" s="213" t="s">
        <v>1163</v>
      </c>
      <c r="LK1" s="213" t="s">
        <v>1164</v>
      </c>
      <c r="LL1" s="213" t="s">
        <v>1165</v>
      </c>
      <c r="LM1" s="213" t="s">
        <v>1166</v>
      </c>
      <c r="LN1" s="216" t="s">
        <v>1167</v>
      </c>
      <c r="LO1" s="216" t="s">
        <v>1168</v>
      </c>
      <c r="LP1" s="216" t="s">
        <v>1169</v>
      </c>
      <c r="LQ1" s="216" t="s">
        <v>1170</v>
      </c>
      <c r="LR1" s="216" t="s">
        <v>1171</v>
      </c>
      <c r="LS1" s="216" t="s">
        <v>1172</v>
      </c>
      <c r="LT1" s="216" t="s">
        <v>1173</v>
      </c>
      <c r="LU1" s="216" t="s">
        <v>1174</v>
      </c>
      <c r="LV1" s="216" t="s">
        <v>1175</v>
      </c>
      <c r="LW1" s="216" t="s">
        <v>1176</v>
      </c>
      <c r="LX1" s="216" t="s">
        <v>1177</v>
      </c>
      <c r="LY1" s="216" t="s">
        <v>1178</v>
      </c>
      <c r="LZ1" s="216" t="s">
        <v>1179</v>
      </c>
      <c r="MA1" s="217" t="s">
        <v>1180</v>
      </c>
      <c r="MB1" s="217" t="s">
        <v>1181</v>
      </c>
      <c r="MC1" s="217" t="s">
        <v>1182</v>
      </c>
      <c r="MD1" s="217" t="s">
        <v>1183</v>
      </c>
      <c r="ME1" s="217" t="s">
        <v>1184</v>
      </c>
      <c r="MF1" s="217" t="s">
        <v>1185</v>
      </c>
      <c r="MG1" s="217" t="s">
        <v>1186</v>
      </c>
      <c r="MH1" s="217" t="s">
        <v>1187</v>
      </c>
      <c r="MI1" s="217" t="s">
        <v>1188</v>
      </c>
      <c r="MJ1" s="217" t="s">
        <v>1189</v>
      </c>
      <c r="MK1" s="217" t="s">
        <v>1190</v>
      </c>
      <c r="ML1" s="217" t="s">
        <v>1191</v>
      </c>
      <c r="MM1" s="217" t="s">
        <v>1192</v>
      </c>
      <c r="MN1" s="218" t="s">
        <v>1193</v>
      </c>
      <c r="MO1" s="218" t="s">
        <v>1194</v>
      </c>
      <c r="MP1" s="218" t="s">
        <v>1195</v>
      </c>
      <c r="MQ1" s="218" t="s">
        <v>1196</v>
      </c>
      <c r="MR1" s="218" t="s">
        <v>1197</v>
      </c>
      <c r="MS1" s="218" t="s">
        <v>1198</v>
      </c>
      <c r="MT1" s="218" t="s">
        <v>1199</v>
      </c>
      <c r="MU1" s="218" t="s">
        <v>1200</v>
      </c>
      <c r="MV1" s="218" t="s">
        <v>1201</v>
      </c>
      <c r="MW1" s="218" t="s">
        <v>1202</v>
      </c>
      <c r="MX1" s="218" t="s">
        <v>1203</v>
      </c>
      <c r="MY1" s="218" t="s">
        <v>1204</v>
      </c>
      <c r="MZ1" s="218" t="s">
        <v>1205</v>
      </c>
      <c r="NA1" s="219" t="s">
        <v>1206</v>
      </c>
      <c r="NB1" s="219" t="s">
        <v>1207</v>
      </c>
      <c r="NC1" s="219" t="s">
        <v>1208</v>
      </c>
      <c r="ND1" s="219" t="s">
        <v>1209</v>
      </c>
      <c r="NE1" s="219" t="s">
        <v>1210</v>
      </c>
      <c r="NF1" s="219" t="s">
        <v>1211</v>
      </c>
      <c r="NG1" s="219" t="s">
        <v>1212</v>
      </c>
      <c r="NH1" s="219" t="s">
        <v>1213</v>
      </c>
      <c r="NI1" s="219" t="s">
        <v>1214</v>
      </c>
      <c r="NJ1" s="219" t="s">
        <v>1215</v>
      </c>
      <c r="NK1" s="219" t="s">
        <v>1216</v>
      </c>
      <c r="NL1" s="219" t="s">
        <v>1217</v>
      </c>
      <c r="NM1" s="219" t="s">
        <v>1218</v>
      </c>
      <c r="NN1" s="208" t="s">
        <v>1219</v>
      </c>
      <c r="NO1" s="208" t="s">
        <v>1220</v>
      </c>
      <c r="NP1" s="208" t="s">
        <v>1221</v>
      </c>
      <c r="NQ1" s="208" t="s">
        <v>1222</v>
      </c>
      <c r="NR1" s="208" t="s">
        <v>1223</v>
      </c>
      <c r="NS1" s="208" t="s">
        <v>1224</v>
      </c>
      <c r="NT1" s="208" t="s">
        <v>1225</v>
      </c>
      <c r="NU1" s="208" t="s">
        <v>1226</v>
      </c>
      <c r="NV1" s="208" t="s">
        <v>1227</v>
      </c>
      <c r="NW1" s="208" t="s">
        <v>1228</v>
      </c>
      <c r="NX1" s="208" t="s">
        <v>1229</v>
      </c>
      <c r="NY1" s="208" t="s">
        <v>1230</v>
      </c>
      <c r="NZ1" s="208" t="s">
        <v>1231</v>
      </c>
      <c r="OA1" s="219" t="s">
        <v>1232</v>
      </c>
      <c r="OB1" s="219" t="s">
        <v>1233</v>
      </c>
      <c r="OC1" s="219" t="s">
        <v>1234</v>
      </c>
      <c r="OD1" s="219" t="s">
        <v>1235</v>
      </c>
      <c r="OE1" s="219" t="s">
        <v>1236</v>
      </c>
      <c r="OF1" s="219" t="s">
        <v>1237</v>
      </c>
      <c r="OG1" s="219" t="s">
        <v>1238</v>
      </c>
      <c r="OH1" s="219" t="s">
        <v>1239</v>
      </c>
      <c r="OI1" s="219" t="s">
        <v>1240</v>
      </c>
      <c r="OJ1" s="219" t="s">
        <v>1241</v>
      </c>
      <c r="OK1" s="219" t="s">
        <v>1242</v>
      </c>
      <c r="OL1" s="219" t="s">
        <v>1243</v>
      </c>
      <c r="OM1" s="219" t="s">
        <v>1244</v>
      </c>
      <c r="ON1" s="208" t="s">
        <v>1245</v>
      </c>
      <c r="OO1" s="208" t="s">
        <v>1246</v>
      </c>
      <c r="OP1" s="208" t="s">
        <v>1247</v>
      </c>
      <c r="OQ1" s="208" t="s">
        <v>1248</v>
      </c>
      <c r="OR1" s="208" t="s">
        <v>1249</v>
      </c>
      <c r="OS1" s="208" t="s">
        <v>1250</v>
      </c>
      <c r="OT1" s="208" t="s">
        <v>1251</v>
      </c>
      <c r="OU1" s="208" t="s">
        <v>1252</v>
      </c>
      <c r="OV1" s="208" t="s">
        <v>1253</v>
      </c>
      <c r="OW1" s="208" t="s">
        <v>1254</v>
      </c>
      <c r="OX1" s="208" t="s">
        <v>1255</v>
      </c>
      <c r="OY1" s="208" t="s">
        <v>1256</v>
      </c>
      <c r="OZ1" s="208" t="s">
        <v>1257</v>
      </c>
      <c r="PA1" s="220" t="s">
        <v>1258</v>
      </c>
      <c r="PB1" s="220" t="s">
        <v>1259</v>
      </c>
      <c r="PC1" s="220" t="s">
        <v>1260</v>
      </c>
      <c r="PD1" s="220" t="s">
        <v>1261</v>
      </c>
      <c r="PE1" s="220" t="s">
        <v>1262</v>
      </c>
      <c r="PF1" s="220" t="s">
        <v>1263</v>
      </c>
      <c r="PG1" s="220" t="s">
        <v>1264</v>
      </c>
      <c r="PH1" s="220" t="s">
        <v>1265</v>
      </c>
      <c r="PI1" s="220" t="s">
        <v>1266</v>
      </c>
      <c r="PJ1" s="220" t="s">
        <v>1267</v>
      </c>
      <c r="PK1" s="220" t="s">
        <v>1268</v>
      </c>
      <c r="PL1" s="220" t="s">
        <v>1269</v>
      </c>
      <c r="PM1" s="220" t="s">
        <v>1270</v>
      </c>
      <c r="PN1" s="221" t="s">
        <v>1271</v>
      </c>
      <c r="PO1" s="221" t="s">
        <v>1272</v>
      </c>
      <c r="PP1" s="221" t="s">
        <v>1273</v>
      </c>
      <c r="PQ1" s="221" t="s">
        <v>1274</v>
      </c>
      <c r="PR1" s="221" t="s">
        <v>1275</v>
      </c>
      <c r="PS1" s="221" t="s">
        <v>1276</v>
      </c>
      <c r="PT1" s="221" t="s">
        <v>1277</v>
      </c>
      <c r="PU1" s="221" t="s">
        <v>1278</v>
      </c>
      <c r="PV1" s="221" t="s">
        <v>1279</v>
      </c>
      <c r="PW1" s="221" t="s">
        <v>1280</v>
      </c>
      <c r="PX1" s="221" t="s">
        <v>1281</v>
      </c>
      <c r="PY1" s="221" t="s">
        <v>1282</v>
      </c>
      <c r="PZ1" s="221" t="s">
        <v>1283</v>
      </c>
      <c r="QA1" s="222" t="s">
        <v>1284</v>
      </c>
      <c r="QB1" s="222" t="s">
        <v>1285</v>
      </c>
      <c r="QC1" s="222" t="s">
        <v>1286</v>
      </c>
      <c r="QD1" s="222" t="s">
        <v>1287</v>
      </c>
      <c r="QE1" s="222" t="s">
        <v>1288</v>
      </c>
      <c r="QF1" s="222" t="s">
        <v>1289</v>
      </c>
      <c r="QG1" s="222" t="s">
        <v>1290</v>
      </c>
      <c r="QH1" s="222" t="s">
        <v>1291</v>
      </c>
      <c r="QI1" s="222" t="s">
        <v>1292</v>
      </c>
      <c r="QJ1" s="222" t="s">
        <v>1293</v>
      </c>
      <c r="QK1" s="222" t="s">
        <v>1294</v>
      </c>
      <c r="QL1" s="222" t="s">
        <v>1295</v>
      </c>
      <c r="QM1" s="222" t="s">
        <v>1296</v>
      </c>
      <c r="QN1" s="223" t="s">
        <v>1297</v>
      </c>
      <c r="QO1" s="223" t="s">
        <v>1298</v>
      </c>
      <c r="QP1" s="223" t="s">
        <v>1299</v>
      </c>
      <c r="QQ1" s="223" t="s">
        <v>1300</v>
      </c>
      <c r="QR1" s="223" t="s">
        <v>1301</v>
      </c>
      <c r="QS1" s="223" t="s">
        <v>1302</v>
      </c>
      <c r="QT1" s="223" t="s">
        <v>1303</v>
      </c>
      <c r="QU1" s="223" t="s">
        <v>1304</v>
      </c>
      <c r="QV1" s="223" t="s">
        <v>1305</v>
      </c>
      <c r="QW1" s="223" t="s">
        <v>1306</v>
      </c>
      <c r="QX1" s="223" t="s">
        <v>1307</v>
      </c>
      <c r="QY1" s="223" t="s">
        <v>1308</v>
      </c>
      <c r="QZ1" s="223" t="s">
        <v>1309</v>
      </c>
      <c r="RA1" s="224" t="s">
        <v>1310</v>
      </c>
      <c r="RB1" s="224" t="s">
        <v>1311</v>
      </c>
      <c r="RC1" s="224" t="s">
        <v>1312</v>
      </c>
      <c r="RD1" s="224" t="s">
        <v>1313</v>
      </c>
      <c r="RE1" s="224" t="s">
        <v>1314</v>
      </c>
      <c r="RF1" s="224" t="s">
        <v>1315</v>
      </c>
      <c r="RG1" s="224" t="s">
        <v>1316</v>
      </c>
      <c r="RH1" s="224" t="s">
        <v>1317</v>
      </c>
      <c r="RI1" s="224" t="s">
        <v>1318</v>
      </c>
      <c r="RJ1" s="224" t="s">
        <v>1319</v>
      </c>
      <c r="RK1" s="224" t="s">
        <v>1320</v>
      </c>
      <c r="RL1" s="224" t="s">
        <v>1321</v>
      </c>
      <c r="RM1" s="224" t="s">
        <v>1322</v>
      </c>
      <c r="RN1" s="225" t="s">
        <v>1323</v>
      </c>
      <c r="RO1" s="225" t="s">
        <v>1324</v>
      </c>
      <c r="RP1" s="225" t="s">
        <v>1325</v>
      </c>
      <c r="RQ1" s="225" t="s">
        <v>1326</v>
      </c>
      <c r="RR1" s="225" t="s">
        <v>1327</v>
      </c>
      <c r="RS1" s="225" t="s">
        <v>1328</v>
      </c>
      <c r="RT1" s="225" t="s">
        <v>1329</v>
      </c>
      <c r="RU1" s="225" t="s">
        <v>1330</v>
      </c>
      <c r="RV1" s="225" t="s">
        <v>1331</v>
      </c>
      <c r="RW1" s="225" t="s">
        <v>1332</v>
      </c>
      <c r="RX1" s="225" t="s">
        <v>1333</v>
      </c>
      <c r="RY1" s="225" t="s">
        <v>1334</v>
      </c>
      <c r="RZ1" s="225" t="s">
        <v>1335</v>
      </c>
      <c r="SA1" s="223" t="s">
        <v>1336</v>
      </c>
      <c r="SB1" s="223" t="s">
        <v>1337</v>
      </c>
      <c r="SC1" s="223" t="s">
        <v>1338</v>
      </c>
      <c r="SD1" s="223" t="s">
        <v>1339</v>
      </c>
      <c r="SE1" s="223" t="s">
        <v>1340</v>
      </c>
      <c r="SF1" s="223" t="s">
        <v>1341</v>
      </c>
      <c r="SG1" s="223" t="s">
        <v>1342</v>
      </c>
      <c r="SH1" s="223" t="s">
        <v>1343</v>
      </c>
      <c r="SI1" s="223" t="s">
        <v>1344</v>
      </c>
      <c r="SJ1" s="223" t="s">
        <v>1345</v>
      </c>
      <c r="SK1" s="223" t="s">
        <v>1346</v>
      </c>
      <c r="SL1" s="223" t="s">
        <v>1347</v>
      </c>
      <c r="SM1" s="223" t="s">
        <v>1348</v>
      </c>
      <c r="SN1" s="226" t="s">
        <v>1349</v>
      </c>
      <c r="SO1" s="226" t="s">
        <v>1350</v>
      </c>
      <c r="SP1" s="226" t="s">
        <v>1351</v>
      </c>
      <c r="SQ1" s="226" t="s">
        <v>1352</v>
      </c>
      <c r="SR1" s="226" t="s">
        <v>1353</v>
      </c>
      <c r="SS1" s="226" t="s">
        <v>1354</v>
      </c>
      <c r="ST1" s="226" t="s">
        <v>1355</v>
      </c>
      <c r="SU1" s="226" t="s">
        <v>1356</v>
      </c>
      <c r="SV1" s="226" t="s">
        <v>1357</v>
      </c>
      <c r="SW1" s="226" t="s">
        <v>1358</v>
      </c>
      <c r="SX1" s="226" t="s">
        <v>1359</v>
      </c>
      <c r="SY1" s="226" t="s">
        <v>1360</v>
      </c>
      <c r="SZ1" s="226" t="s">
        <v>1361</v>
      </c>
      <c r="TA1" s="227" t="s">
        <v>13</v>
      </c>
      <c r="TB1" s="227" t="s">
        <v>1362</v>
      </c>
      <c r="TC1" s="227" t="s">
        <v>1363</v>
      </c>
      <c r="TD1" s="227" t="s">
        <v>1364</v>
      </c>
      <c r="TE1" s="226" t="s">
        <v>1365</v>
      </c>
      <c r="TF1" s="226" t="s">
        <v>1366</v>
      </c>
      <c r="TG1" s="226" t="s">
        <v>1367</v>
      </c>
      <c r="TH1" s="226" t="s">
        <v>1368</v>
      </c>
      <c r="TI1" s="226" t="s">
        <v>1369</v>
      </c>
      <c r="TJ1" s="226" t="s">
        <v>1370</v>
      </c>
      <c r="TK1" s="226" t="s">
        <v>1371</v>
      </c>
      <c r="TL1" s="226" t="s">
        <v>1372</v>
      </c>
      <c r="TM1" s="226" t="s">
        <v>1373</v>
      </c>
      <c r="TN1" s="226" t="s">
        <v>1374</v>
      </c>
      <c r="TO1" s="223" t="s">
        <v>1375</v>
      </c>
      <c r="TP1" s="223" t="s">
        <v>1376</v>
      </c>
      <c r="TQ1" s="223" t="s">
        <v>1377</v>
      </c>
      <c r="TR1" s="223" t="s">
        <v>1378</v>
      </c>
      <c r="TS1" s="223" t="s">
        <v>1379</v>
      </c>
      <c r="TT1" s="223" t="s">
        <v>1380</v>
      </c>
      <c r="TU1" s="223" t="s">
        <v>1381</v>
      </c>
      <c r="TV1" s="220" t="s">
        <v>1382</v>
      </c>
      <c r="TW1" s="220" t="s">
        <v>1383</v>
      </c>
      <c r="TX1" s="220" t="s">
        <v>1384</v>
      </c>
      <c r="TY1" s="220" t="s">
        <v>1385</v>
      </c>
      <c r="TZ1" s="220" t="s">
        <v>1386</v>
      </c>
      <c r="UA1" s="220" t="s">
        <v>1387</v>
      </c>
      <c r="UB1" s="220" t="s">
        <v>1388</v>
      </c>
      <c r="UC1" s="220" t="s">
        <v>1389</v>
      </c>
      <c r="UD1" s="228" t="s">
        <v>409</v>
      </c>
    </row>
    <row r="2" spans="1:550" x14ac:dyDescent="0.25">
      <c r="A2" s="229" t="str">
        <f>'Cover Sheet'!D11</f>
        <v>RC26VIV0007</v>
      </c>
      <c r="B2" s="229">
        <f>'Cover Sheet'!D12</f>
        <v>12946</v>
      </c>
      <c r="C2" s="229" t="str">
        <f>'Cover Sheet'!D4</f>
        <v>RIO TINTO IRON ORE</v>
      </c>
      <c r="D2" s="324" t="str">
        <f>'Cover Sheet'!D13</f>
        <v>VIV</v>
      </c>
      <c r="E2" s="324" t="str">
        <f>'Cover Sheet'!D14</f>
        <v>VIV</v>
      </c>
      <c r="F2" s="230" t="str">
        <f>'Cover Sheet'!D15</f>
        <v>WESTERN AUSTRALIA</v>
      </c>
      <c r="G2" s="229" t="str">
        <f>'Cover Sheet'!D16</f>
        <v>AUSTRALIA</v>
      </c>
      <c r="H2" s="229" t="str">
        <f>'Cover Sheet'!J4</f>
        <v>P5042</v>
      </c>
      <c r="I2" s="231">
        <f>'Cover Sheet'!G34</f>
        <v>46102</v>
      </c>
      <c r="J2" s="232">
        <f>IF(DV2="",DU2,DV2)</f>
        <v>2107</v>
      </c>
      <c r="K2" s="229" t="str">
        <f>IF(DS2="",DR2,DS2)</f>
        <v>TJJ</v>
      </c>
      <c r="L2" s="229" t="str">
        <f>'Cover Sheet'!J6</f>
        <v>Yes</v>
      </c>
      <c r="M2" s="229">
        <f>'Cover Sheet'!D7</f>
        <v>0</v>
      </c>
      <c r="N2" s="230">
        <f>'Cover Sheet'!D20</f>
        <v>14</v>
      </c>
      <c r="O2" s="230">
        <f>'Cover Sheet'!D21</f>
        <v>36</v>
      </c>
      <c r="P2" s="230">
        <f>'Cover Sheet'!D22</f>
        <v>35.4</v>
      </c>
      <c r="Q2" s="230">
        <f>'Cover Sheet'!D25</f>
        <v>0</v>
      </c>
      <c r="R2" s="230">
        <f>'Cover Sheet'!D23</f>
        <v>0</v>
      </c>
      <c r="S2" s="230">
        <f>'Cover Sheet'!D24</f>
        <v>0</v>
      </c>
      <c r="T2" s="230" t="str">
        <f>IF('Cover Sheet'!J17="","",'Cover Sheet'!J17)</f>
        <v/>
      </c>
      <c r="U2" s="230" t="str">
        <f>IF('Cover Sheet'!J16="","",'Cover Sheet'!J16)</f>
        <v/>
      </c>
      <c r="V2" s="230" t="str">
        <f>IF('Cover Sheet'!J18="","",'Cover Sheet'!J18)</f>
        <v/>
      </c>
      <c r="W2" s="230" t="str">
        <f>IF('Cover Sheet'!J19="","",'Cover Sheet'!J19)</f>
        <v/>
      </c>
      <c r="X2" s="230" t="str">
        <f>IF('Cover Sheet'!J20="","",'Cover Sheet'!J20)</f>
        <v/>
      </c>
      <c r="Y2" s="230" t="str">
        <f>'Cover Sheet'!J21</f>
        <v>G.L.</v>
      </c>
      <c r="Z2" s="230" t="str">
        <f>'Cover Sheet'!J22</f>
        <v>G.L.</v>
      </c>
      <c r="AA2" s="230">
        <f>'Cover Sheet'!J23</f>
        <v>0</v>
      </c>
      <c r="AB2" s="229">
        <f>'Cover Sheet'!J12</f>
        <v>-90</v>
      </c>
      <c r="AC2" s="229">
        <f>'Cover Sheet'!J13</f>
        <v>0</v>
      </c>
      <c r="AD2" s="230" t="str">
        <f>'Cover Sheet'!S22</f>
        <v>DRY</v>
      </c>
      <c r="AE2" s="229">
        <f>'Cover Sheet'!S15</f>
        <v>0</v>
      </c>
      <c r="AF2" s="229">
        <f>'Cover Sheet'!U15</f>
        <v>0</v>
      </c>
      <c r="AG2" s="230">
        <f>'Cover Sheet'!S11</f>
        <v>0</v>
      </c>
      <c r="AH2" s="229">
        <f>'Cover Sheet'!D17</f>
        <v>0</v>
      </c>
      <c r="AI2" s="233">
        <f>'Cover Sheet'!J11</f>
        <v>0.82</v>
      </c>
      <c r="AJ2" s="229">
        <f>'Cover Sheet'!S28</f>
        <v>0</v>
      </c>
      <c r="AK2" s="229">
        <f>'Cover Sheet'!U28</f>
        <v>0</v>
      </c>
      <c r="AL2" s="229">
        <f>'Cover Sheet'!S25</f>
        <v>0</v>
      </c>
      <c r="AM2" s="229">
        <f>'Cover Sheet'!U25</f>
        <v>0</v>
      </c>
      <c r="AN2" s="234" t="str">
        <f>IF('Cover Sheet'!B58="","",'Cover Sheet'!B58)</f>
        <v/>
      </c>
      <c r="AO2" s="234" t="str">
        <f>IF('Cover Sheet'!B59="","",'Cover Sheet'!B59)</f>
        <v/>
      </c>
      <c r="AP2" s="234" t="str">
        <f>IF('Cover Sheet'!B60="","",'Cover Sheet'!B60)</f>
        <v/>
      </c>
      <c r="AQ2" s="234" t="str">
        <f>IF('Cover Sheet'!B61="","",'Cover Sheet'!B61)</f>
        <v/>
      </c>
      <c r="AR2" s="234" t="str">
        <f>IF('Cover Sheet'!B62="","",'Cover Sheet'!B62)</f>
        <v/>
      </c>
      <c r="AS2" s="234" t="str">
        <f>IF('Cover Sheet'!B63="","",'Cover Sheet'!B63)</f>
        <v/>
      </c>
      <c r="AT2" s="234" t="str">
        <f>IF('Cover Sheet'!E64="","",'Cover Sheet'!E64)</f>
        <v>Moderate - 50%</v>
      </c>
      <c r="AU2" s="234" t="str">
        <f>IF('Cover Sheet'!E65="","",'Cover Sheet'!E65)</f>
        <v>Visible - Borehole Visible</v>
      </c>
      <c r="AV2" s="230">
        <f>IF('Cover Sheet'!S12="",1,'Cover Sheet'!S12)</f>
        <v>1</v>
      </c>
      <c r="AW2" s="229">
        <f>'Cover Sheet'!S13</f>
        <v>0</v>
      </c>
      <c r="AX2" s="229">
        <f>'Cover Sheet'!S15</f>
        <v>0</v>
      </c>
      <c r="AY2" s="229">
        <f>'Cover Sheet'!S16</f>
        <v>0</v>
      </c>
      <c r="AZ2" s="229">
        <f>'Cover Sheet'!S17</f>
        <v>0</v>
      </c>
      <c r="BA2" s="235" t="str">
        <f>IF('Cover Sheet'!S21="","N/A",'Cover Sheet'!S21)</f>
        <v>N/A</v>
      </c>
      <c r="BB2" s="236" t="str">
        <f>IF('Cover Sheet'!S19="","N/A",IF('Cover Sheet'!S19="N/A","N/A",'Cover Sheet'!S19+'Cover Sheet'!U19))</f>
        <v>N/A</v>
      </c>
      <c r="BC2" s="237">
        <f>'Cover Sheet'!S20</f>
        <v>0</v>
      </c>
      <c r="BD2" s="238" t="str">
        <f>IF('Cover Sheet'!J18="","",'Cover Sheet'!J18)</f>
        <v/>
      </c>
      <c r="BE2" s="238" t="str">
        <f>IF('Cover Sheet'!J19="","",'Cover Sheet'!J19)</f>
        <v/>
      </c>
      <c r="BF2" s="238" t="str">
        <f>IF('Cover Sheet'!J20="","",'Cover Sheet'!J20)</f>
        <v/>
      </c>
      <c r="BG2" s="230" t="str">
        <f>'Cover Sheet'!J21</f>
        <v>G.L.</v>
      </c>
      <c r="BH2" s="230" t="str">
        <f>'Cover Sheet'!J22</f>
        <v>G.L.</v>
      </c>
      <c r="BI2" s="229"/>
      <c r="BJ2" s="239">
        <f>IF(MIN(HJ2,HW2,IJ2,IW2,JJ2,JW2,KJ2,KW2,MJ2,NW2,OJ2,OW2,PJ2,PW2,QJ2,QW2,RJ2)&lt;0,0,MIN(HJ2,HW2,IJ2,IW2,JJ2,JW2,KJ2,KW2,MJ2,NW2,OJ2,OW2,PJ2,PW2,QJ2,QW2,RJ2))</f>
        <v>0</v>
      </c>
      <c r="BK2" s="239">
        <f>MAX(HX2,IK2,IX2,JK2,JX2,KK2,KX2,OK2,OX2,PK2,PX2,QK2,RK2)</f>
        <v>35.4</v>
      </c>
      <c r="BL2" s="239">
        <f>MAX(HK2,HX2,IK2,IX2,JK2,JX2,KK2,KX2,MK2,MX2,NK2,NX2,OK2,OX2,PK2,PX2,QK2,QX2,RK2)</f>
        <v>35.4</v>
      </c>
      <c r="BM2" s="240">
        <f>MAX(HE2,HR2,IE2,IR2,JE2,JR2,KE2,KR2,ME2,MR2,NE2,NR2,OE2,OR2,PE2,PR2,QE2,QR2,RE2)</f>
        <v>46102</v>
      </c>
      <c r="BN2" s="229">
        <f>'Cover Sheet'!Y13</f>
        <v>0</v>
      </c>
      <c r="BO2" s="229">
        <f>'Cover Sheet'!AA13</f>
        <v>0</v>
      </c>
      <c r="BP2" s="229">
        <f>'Cover Sheet'!Y14</f>
        <v>0</v>
      </c>
      <c r="BQ2" s="229">
        <f>'Cover Sheet'!AA14</f>
        <v>0</v>
      </c>
      <c r="BR2" s="229">
        <f>'Cover Sheet'!Y15</f>
        <v>0</v>
      </c>
      <c r="BS2" s="229">
        <f>'Cover Sheet'!AA15</f>
        <v>0</v>
      </c>
      <c r="BT2" s="229">
        <f>'Cover Sheet'!Y16</f>
        <v>0</v>
      </c>
      <c r="BU2" s="229">
        <f>'Cover Sheet'!AA16</f>
        <v>0</v>
      </c>
      <c r="BV2" s="229">
        <f>'Cover Sheet'!Y17</f>
        <v>0</v>
      </c>
      <c r="BW2" s="229">
        <f>'Cover Sheet'!AA17</f>
        <v>0</v>
      </c>
      <c r="BX2" s="229">
        <f>'Cover Sheet'!Y18</f>
        <v>0</v>
      </c>
      <c r="BY2" s="229">
        <f>'Cover Sheet'!AA18</f>
        <v>0</v>
      </c>
      <c r="BZ2" s="229">
        <f>'Cover Sheet'!Y19</f>
        <v>0</v>
      </c>
      <c r="CA2" s="229">
        <f>'Cover Sheet'!AA19</f>
        <v>0</v>
      </c>
      <c r="CB2" s="229">
        <f>'Cover Sheet'!Y20</f>
        <v>0</v>
      </c>
      <c r="CC2" s="229">
        <f>'Cover Sheet'!AA20</f>
        <v>0</v>
      </c>
      <c r="CD2" s="229">
        <f>'Cover Sheet'!Y21</f>
        <v>0</v>
      </c>
      <c r="CE2" s="229">
        <f>'Cover Sheet'!AA21</f>
        <v>0</v>
      </c>
      <c r="CF2" s="229">
        <f>'Cover Sheet'!Y22</f>
        <v>0</v>
      </c>
      <c r="CG2" s="229">
        <f>'Cover Sheet'!AA22</f>
        <v>0</v>
      </c>
      <c r="CH2" s="229">
        <f>'Cover Sheet'!Y23</f>
        <v>0</v>
      </c>
      <c r="CI2" s="229">
        <f>'Cover Sheet'!AA23</f>
        <v>0</v>
      </c>
      <c r="CJ2" s="229">
        <f>'Cover Sheet'!Y24</f>
        <v>0</v>
      </c>
      <c r="CK2" s="229">
        <f>'Cover Sheet'!AA24</f>
        <v>0</v>
      </c>
      <c r="CL2" s="229">
        <f>'Cover Sheet'!Y25</f>
        <v>0</v>
      </c>
      <c r="CM2" s="229">
        <f>'Cover Sheet'!AA25</f>
        <v>0</v>
      </c>
      <c r="CN2" s="229">
        <f>'Cover Sheet'!Y26</f>
        <v>0</v>
      </c>
      <c r="CO2" s="229">
        <f>'Cover Sheet'!AA26</f>
        <v>0</v>
      </c>
      <c r="CP2" s="229">
        <f>'Cover Sheet'!Y27</f>
        <v>0</v>
      </c>
      <c r="CQ2" s="229">
        <f>'Cover Sheet'!AA27</f>
        <v>0</v>
      </c>
      <c r="CR2" s="241" t="str">
        <f>IF('Cover Sheet'!J24="","N/A",'Cover Sheet'!J24)</f>
        <v>N/A</v>
      </c>
      <c r="CS2" s="241" t="str">
        <f>IF('Cover Sheet'!J25="","N/A",'Cover Sheet'!J25)</f>
        <v>N/A</v>
      </c>
      <c r="CT2" s="230" t="str">
        <f>IF('Cover Sheet'!J24="","",'Cover Sheet'!J24)</f>
        <v/>
      </c>
      <c r="CU2" s="230" t="str">
        <f>IF('Cover Sheet'!J25="","",'Cover Sheet'!J25)</f>
        <v/>
      </c>
      <c r="CV2" s="242">
        <f>IF('Cover Sheet'!S12="",1,'Cover Sheet'!S12)</f>
        <v>1</v>
      </c>
      <c r="CW2" s="229"/>
      <c r="CX2" s="229"/>
      <c r="CY2" s="230" t="str">
        <f>'Cover Sheet'!D28</f>
        <v>PVC</v>
      </c>
      <c r="CZ2" s="230" t="str">
        <f>IF('Cover Sheet'!D25="","",IF('Cover Sheet'!D26="","",('Cover Sheet'!D25-'Cover Sheet'!D26)/2))</f>
        <v/>
      </c>
      <c r="DA2" s="229">
        <f>'Cover Sheet'!D29</f>
        <v>0</v>
      </c>
      <c r="DB2" s="243" t="str">
        <f>IF('Cover Sheet'!J14="","",'Cover Sheet'!J14)</f>
        <v>GDA94</v>
      </c>
      <c r="DC2" s="244" t="str">
        <f>IF(COUNTIF('Cover Sheet'!AS5:AS58,C2), VLOOKUP(C2,'Cover Sheet'!AS5:AT57,2,FALSE),"EnterClient")</f>
        <v>EnterClient</v>
      </c>
      <c r="DD2" s="244" t="str">
        <f>IF('Cover Sheet'!B67="","",'Cover Sheet'!B67)</f>
        <v/>
      </c>
      <c r="DE2" s="244" t="str">
        <f>IF('Cover Sheet'!B68="","",'Cover Sheet'!B68)</f>
        <v/>
      </c>
      <c r="DF2" s="244" t="str">
        <f>IF('Cover Sheet'!B69="","",'Cover Sheet'!B69)</f>
        <v/>
      </c>
      <c r="DG2" s="244" t="str">
        <f>IF('Cover Sheet'!D5="","",'Cover Sheet'!D5)</f>
        <v>BROCKMAN</v>
      </c>
      <c r="DH2" s="244"/>
      <c r="DI2" s="230" t="str">
        <f>'Cover Sheet'!J27</f>
        <v>No</v>
      </c>
      <c r="DJ2" s="230" t="str">
        <f>'Cover Sheet'!J28</f>
        <v>Yes</v>
      </c>
      <c r="DK2" s="229" t="str">
        <f>'Cover Sheet'!B2</f>
        <v>WSG</v>
      </c>
      <c r="DL2" s="229" t="str">
        <f>IF('Cover Sheet'!J8="","",'Cover Sheet'!J8)</f>
        <v>Good - clean stable surface</v>
      </c>
      <c r="DM2" s="229"/>
      <c r="DN2" s="229" t="str">
        <f>'Cover Sheet'!B2</f>
        <v>WSG</v>
      </c>
      <c r="DO2" s="229" t="str">
        <f>'Cover Sheet'!B2</f>
        <v>WSG</v>
      </c>
      <c r="DP2" s="229" t="str">
        <f>'Cover Sheet'!B2</f>
        <v>WSG</v>
      </c>
      <c r="DQ2" s="245" t="str">
        <f>IF(MF2="",IF(NF2="",MS2,NF2),MF2)</f>
        <v/>
      </c>
      <c r="DR2" s="245" t="str">
        <f>IF(DQ2="",IF(HF2="",IF(PF2="",NS2,PF2),HF2),DQ2)</f>
        <v/>
      </c>
      <c r="DS2" s="245" t="str">
        <f>IF(KS2="",IF(IF2="",IF(IS2="",HS2,IS2),IF2),KS2)</f>
        <v>TJJ</v>
      </c>
      <c r="DT2" s="245" t="str">
        <f>IF(MG2="",IF(MT2="",NG2,MT2),MG2)</f>
        <v/>
      </c>
      <c r="DU2" s="245" t="str">
        <f>IF(DT2="",IF(HG2="",IF(PG2="",NT2,PG2),HG2),DT2)</f>
        <v/>
      </c>
      <c r="DV2" s="245">
        <f>IF(KT2="",IF(IG2="",IF(IT2="",HT2,IT2),IG2),KT2)</f>
        <v>2107</v>
      </c>
      <c r="DW2" s="239" t="str">
        <f>IF(NX2="",IF(MK2="",IF(HK2="",PK2,HK2),MK2),NX2)</f>
        <v/>
      </c>
      <c r="DX2" s="238" t="str">
        <f>IF('Cover Sheet'!S22="","",IF('Cover Sheet'!S22='Cover Sheet'!D22,"N/A",'Cover Sheet'!S22))</f>
        <v>DRY</v>
      </c>
      <c r="DY2" s="246" t="str">
        <f>IF(ME2="",MR2,ME2)</f>
        <v/>
      </c>
      <c r="DZ2" s="246" t="str">
        <f>IF(DY2="",HE2,DY2)</f>
        <v/>
      </c>
      <c r="EA2" s="234">
        <f>'Cover Sheet'!H48</f>
        <v>0</v>
      </c>
      <c r="EB2" s="229">
        <f>'Cover Sheet'!H49</f>
        <v>0</v>
      </c>
      <c r="EC2" s="229">
        <f>'Cover Sheet'!E48</f>
        <v>0</v>
      </c>
      <c r="ED2" s="247">
        <f>'Cover Sheet'!F48</f>
        <v>0</v>
      </c>
      <c r="EE2" s="229">
        <f>'Cover Sheet'!E49</f>
        <v>0</v>
      </c>
      <c r="EF2" s="229">
        <f>'Cover Sheet'!C53</f>
        <v>0</v>
      </c>
      <c r="EG2" s="230">
        <f>'Cover Sheet'!D53</f>
        <v>0</v>
      </c>
      <c r="EH2" s="230">
        <f>'Cover Sheet'!E53</f>
        <v>0</v>
      </c>
      <c r="EI2" s="229">
        <f>'Cover Sheet'!F53</f>
        <v>0</v>
      </c>
      <c r="EJ2" s="230">
        <f>'Cover Sheet'!G53</f>
        <v>0</v>
      </c>
      <c r="EK2" s="230">
        <f>'Cover Sheet'!H53</f>
        <v>0</v>
      </c>
      <c r="EL2" s="230">
        <f>'Cover Sheet'!I53</f>
        <v>0</v>
      </c>
      <c r="EM2" s="230">
        <f>'Cover Sheet'!J53</f>
        <v>0</v>
      </c>
      <c r="EN2" s="230">
        <f>'Cover Sheet'!K53</f>
        <v>0</v>
      </c>
      <c r="EO2" s="230" t="e">
        <f>'Cover Sheet'!L53</f>
        <v>#DIV/0!</v>
      </c>
      <c r="EP2" s="248" t="str">
        <f>IF('Cover Sheet'!S10="","",'Cover Sheet'!S10)</f>
        <v/>
      </c>
      <c r="EQ2" s="248" t="e">
        <f>'Cover Sheet'!#REF!</f>
        <v>#REF!</v>
      </c>
      <c r="ER2" s="229">
        <f>'Cover Sheet'!C54</f>
        <v>0</v>
      </c>
      <c r="ES2" s="229">
        <f>'Cover Sheet'!D54</f>
        <v>0</v>
      </c>
      <c r="ET2" s="229">
        <f>'Cover Sheet'!E54</f>
        <v>0</v>
      </c>
      <c r="EU2" s="229">
        <f>'Cover Sheet'!F54</f>
        <v>0</v>
      </c>
      <c r="EV2" s="229">
        <f>'Cover Sheet'!G54</f>
        <v>0</v>
      </c>
      <c r="EW2" s="229">
        <f>'Cover Sheet'!H54</f>
        <v>0</v>
      </c>
      <c r="EX2" s="230">
        <f>'Cover Sheet'!I54</f>
        <v>0</v>
      </c>
      <c r="EY2" s="230">
        <f>'Cover Sheet'!J54</f>
        <v>0</v>
      </c>
      <c r="EZ2" s="230">
        <f>'Cover Sheet'!K54</f>
        <v>0</v>
      </c>
      <c r="FA2" s="230" t="e">
        <f>'Cover Sheet'!L54</f>
        <v>#DIV/0!</v>
      </c>
      <c r="FB2" s="243" t="str">
        <f>IF('Cover Sheet'!J21="G.L.","GROUND LEVEL",IF('Cover Sheet'!J21="D.F.","DRILL FLOOR","KELLY BUSHING"))</f>
        <v>GROUND LEVEL</v>
      </c>
      <c r="FC2" s="243" t="str">
        <f>IF('Cover Sheet'!J22="G.L.","GROUND LEVEL",IF('Cover Sheet'!J22="D.F.","DRILL FLOOR","KELLY BUSHING"))</f>
        <v>GROUND LEVEL</v>
      </c>
      <c r="FD2" s="229">
        <f>'Cover Sheet'!S48</f>
        <v>0</v>
      </c>
      <c r="FE2" s="229">
        <f>'Cover Sheet'!U48</f>
        <v>0</v>
      </c>
      <c r="FF2" s="229" t="e">
        <f>'Cover Sheet'!W48</f>
        <v>#DIV/0!</v>
      </c>
      <c r="FG2" s="229" t="e">
        <f>'Cover Sheet'!Y48</f>
        <v>#DIV/0!</v>
      </c>
      <c r="FH2" s="229">
        <f>'Cover Sheet'!AA48</f>
        <v>0</v>
      </c>
      <c r="FI2" s="243" t="str">
        <f>IF(LG2="-",LT2,LG2)</f>
        <v/>
      </c>
      <c r="FJ2" s="243" t="str">
        <f>IF(LF2="",LS2,LF2)</f>
        <v>TJJ</v>
      </c>
      <c r="FK2" s="229">
        <f>'Cover Sheet'!S53</f>
        <v>0</v>
      </c>
      <c r="FL2" s="229">
        <f>'Cover Sheet'!U53</f>
        <v>0</v>
      </c>
      <c r="FM2" s="229">
        <f>'Cover Sheet'!W53</f>
        <v>0</v>
      </c>
      <c r="FN2" s="229">
        <f>'Cover Sheet'!Y53</f>
        <v>0</v>
      </c>
      <c r="FO2" s="230">
        <f>'Cover Sheet'!AA53</f>
        <v>0</v>
      </c>
      <c r="FP2" s="191">
        <f>'Cover Sheet'!Q59</f>
        <v>46092</v>
      </c>
      <c r="FQ2" s="14">
        <f>'Cover Sheet'!S59</f>
        <v>9239</v>
      </c>
      <c r="FR2" s="14">
        <f>'Cover Sheet'!U59</f>
        <v>2766</v>
      </c>
      <c r="FS2" s="14" t="str">
        <f>'Cover Sheet'!W59</f>
        <v>H003/21</v>
      </c>
      <c r="FT2" s="14">
        <f>'Cover Sheet'!Y59</f>
        <v>2107</v>
      </c>
      <c r="FU2" s="14" t="str">
        <f>'Cover Sheet'!AA59</f>
        <v>DD25BS30011</v>
      </c>
      <c r="FV2" s="191">
        <f>'Cover Sheet'!Q60</f>
        <v>46092</v>
      </c>
      <c r="FW2" s="14">
        <f>'Cover Sheet'!S60</f>
        <v>9622</v>
      </c>
      <c r="FX2" s="14">
        <f>'Cover Sheet'!U60</f>
        <v>4364</v>
      </c>
      <c r="FY2" s="14" t="str">
        <f>'Cover Sheet'!W60</f>
        <v>-</v>
      </c>
      <c r="FZ2" s="14">
        <f>'Cover Sheet'!Y60</f>
        <v>2107</v>
      </c>
      <c r="GA2" s="14" t="str">
        <f>'Cover Sheet'!AA60</f>
        <v>DD25BS30011</v>
      </c>
      <c r="GB2" s="191">
        <f>'Cover Sheet'!Q61</f>
        <v>46092</v>
      </c>
      <c r="GC2" s="14" t="str">
        <f>'Cover Sheet'!S61</f>
        <v>Dummy</v>
      </c>
      <c r="GD2" s="14">
        <f>'Cover Sheet'!U61</f>
        <v>0</v>
      </c>
      <c r="GE2" s="14" t="str">
        <f>'Cover Sheet'!W61</f>
        <v>-</v>
      </c>
      <c r="GF2" s="14" t="e">
        <f>'Cover Sheet'!#REF!</f>
        <v>#REF!</v>
      </c>
      <c r="GG2" s="14" t="str">
        <f>'Cover Sheet'!AA61</f>
        <v>DD25BS30011</v>
      </c>
      <c r="GH2" s="191">
        <f>'Cover Sheet'!Q62</f>
        <v>46092</v>
      </c>
      <c r="GI2" s="249" t="str">
        <f>'Cover Sheet'!S62</f>
        <v>OBI</v>
      </c>
      <c r="GJ2" s="229">
        <f>'Cover Sheet'!U62</f>
        <v>1118</v>
      </c>
      <c r="GK2" s="229" t="str">
        <f>'Cover Sheet'!W62</f>
        <v>-</v>
      </c>
      <c r="GL2" s="229">
        <f>'Cover Sheet'!Y62</f>
        <v>2107</v>
      </c>
      <c r="GM2" s="229" t="str">
        <f>'Cover Sheet'!AA62</f>
        <v>DD25BS30011</v>
      </c>
      <c r="GN2" s="250"/>
      <c r="GO2" s="250"/>
      <c r="GP2" s="250"/>
      <c r="GQ2" s="250"/>
      <c r="GR2" s="250"/>
      <c r="GS2" s="250"/>
      <c r="GT2" s="250"/>
      <c r="GU2" s="250"/>
      <c r="GV2" s="243">
        <f>VLOOKUP("9012InRod",'Cover Sheet'!$S$59:$V$70,3,FALSE)</f>
        <v>4521</v>
      </c>
      <c r="GW2" s="243">
        <f>VLOOKUP("OBI",'Cover Sheet'!$S$59:$V$70,3,FALSE)</f>
        <v>1118</v>
      </c>
      <c r="GX2" s="243">
        <f>VLOOKUP("ABI",'Cover Sheet'!$S$59:$V$70,3,FALSE)</f>
        <v>1015</v>
      </c>
      <c r="GY2" s="243" t="e">
        <f>VLOOKUP("9098-Gyro",'Cover Sheet'!$S$59:$V$70,3,FALSE)</f>
        <v>#N/A</v>
      </c>
      <c r="GZ2" s="243" t="e">
        <f>VLOOKUP("TGT",'Cover Sheet'!$S$59:$V$70,3,FALSE)</f>
        <v>#N/A</v>
      </c>
      <c r="HA2" s="251" t="str">
        <f>IF(ISNUMBER(VLOOKUP("GVGamma",'Cover Sheet'!$B$34:$AA$44,13,0)),(VLOOKUP("GVGamma",'Cover Sheet'!$B$34:$AA$44,2,0)),IF(ISNUMBER(VLOOKUP("9012InRod",'Cover Sheet'!$B$34:$AA$44,13,0)),(VLOOKUP("9012InRod",'Cover Sheet'!$B$34:$AA$44,2,0)),""))</f>
        <v/>
      </c>
      <c r="HB2" s="251" t="str">
        <f>IF(ISNUMBER(VLOOKUP("GVGamma",'Cover Sheet'!$B$34:$AA$44,13,0)),(VLOOKUP("GVGamma",'Cover Sheet'!$B$34:$AA$44,3,0)),IF(ISNUMBER(VLOOKUP("9012InRod",'Cover Sheet'!$B$34:$AA$44,13,0)),(VLOOKUP("9012InRod",'Cover Sheet'!$B$34:$AA$44,3,0)),""))</f>
        <v/>
      </c>
      <c r="HC2" s="251" t="str">
        <f>IF(ISNUMBER(VLOOKUP("GVGamma",'Cover Sheet'!$B$34:$AA$44,13,0)),(VLOOKUP("GVGamma",'Cover Sheet'!$B$34:$AA$44,4,0)),IF(ISNUMBER(VLOOKUP("9012InRod",'Cover Sheet'!$B$34:$AA$44,13,0)),(VLOOKUP("9012InRod",'Cover Sheet'!$B$34:$AA$44,4,0)),""))</f>
        <v/>
      </c>
      <c r="HD2" s="251" t="str">
        <f>IF(ISNUMBER(VLOOKUP("GVGamma",'Cover Sheet'!$B$34:$AA$44,13,0)),(VLOOKUP("GVGamma",'Cover Sheet'!$B$34:$AA$44,5,0)),IF(ISNUMBER(VLOOKUP("9012InRod",'Cover Sheet'!$B$34:$AA$44,13,0)),(VLOOKUP("9012InRod",'Cover Sheet'!$B$34:$AA$44,5,0)),""))</f>
        <v/>
      </c>
      <c r="HE2" s="252" t="str">
        <f>IF(ISNUMBER(VLOOKUP("GVGamma",'Cover Sheet'!$B$34:$AA$44,13,0)),(VLOOKUP("GVGamma",'Cover Sheet'!$B$34:$AA$44,6,0)),IF(ISNUMBER(VLOOKUP("9012InRod",'Cover Sheet'!$B$34:$AA$44,13,0)),(VLOOKUP("9012InRod",'Cover Sheet'!$B$34:$AA$44,6,0)),""))</f>
        <v/>
      </c>
      <c r="HF2" s="251" t="str">
        <f>IF(ISNUMBER(VLOOKUP("GVGamma",'Cover Sheet'!$B$34:$AA$44,13,0)),(VLOOKUP("GVGamma",'Cover Sheet'!$B$34:$AA$44,7,0)),IF(ISNUMBER(VLOOKUP("9012InRod",'Cover Sheet'!$B$34:$AA$44,13,0)),(VLOOKUP("9012InRod",'Cover Sheet'!$B$34:$AA$44,7,0)),""))</f>
        <v/>
      </c>
      <c r="HG2" s="251" t="str">
        <f>IF(ISNUMBER(VLOOKUP("GVGamma",'Cover Sheet'!$B$34:$AA$44,13,0)),(VLOOKUP("GVGamma",'Cover Sheet'!$B$34:$AA$44,8,0)),IF(ISNUMBER(VLOOKUP("9012InRod",'Cover Sheet'!$B$34:$AA$44,13,0)),(VLOOKUP("9012InRod",'Cover Sheet'!$B$34:$AA$44,8,0)),""))</f>
        <v/>
      </c>
      <c r="HH2" s="253" t="str">
        <f>IF(ISNUMBER(VLOOKUP("GVGamma",'Cover Sheet'!$B$34:$AA$44,13,0)),(VLOOKUP("GVGamma",'Cover Sheet'!$B$34:$AA$44,9,0)),IF(ISNUMBER(VLOOKUP("9012InRod",'Cover Sheet'!$B$34:$AA$44,13,0)),(VLOOKUP("9012InRod",'Cover Sheet'!$B$34:$AA$44,9,0)),""))</f>
        <v/>
      </c>
      <c r="HI2" s="253" t="str">
        <f>IF(ISNUMBER(VLOOKUP("GVGamma",'Cover Sheet'!$B$34:$AA$44,13,0)),(VLOOKUP("GVGamma",'Cover Sheet'!$B$34:$AA$44,10,0)),IF(ISNUMBER(VLOOKUP("9012InRod",'Cover Sheet'!$B$34:$AA$44,13,0)),(VLOOKUP("9012InRod",'Cover Sheet'!$B$34:$AA$44,10,0)),""))</f>
        <v/>
      </c>
      <c r="HJ2" s="254" t="str">
        <f>IF(ISNUMBER(VLOOKUP("GVGamma",'Cover Sheet'!$B$34:$AA$44,13,0)),(VLOOKUP("GVGamma",'Cover Sheet'!$B$34:$AA$44,11,0)),IF(ISNUMBER(VLOOKUP("9012InRod",'Cover Sheet'!$B$34:$AA$44,13,0)),(VLOOKUP("9012InRod",'Cover Sheet'!$B$34:$AA$44,11,0)),""))</f>
        <v/>
      </c>
      <c r="HK2" s="254" t="str">
        <f>IF(ISNUMBER(VLOOKUP("GVGamma",'Cover Sheet'!$B$34:$AA$44,13,0)),(VLOOKUP("GVGamma",'Cover Sheet'!$B$34:$AA$44,13,0)),IF(ISNUMBER(VLOOKUP("9012InRod",'Cover Sheet'!$B$34:$AA$44,13,0)),(VLOOKUP("9012InRod",'Cover Sheet'!$B$34:$AA$44,13,0)),""))</f>
        <v/>
      </c>
      <c r="HL2" s="254" t="str">
        <f>IF(ISNUMBER(VLOOKUP("GVGamma",'Cover Sheet'!$B$34:$AA$44,13,0)),(VLOOKUP("GVGamma",'Cover Sheet'!$B$34:$AA$44,24,0)),IF(ISNUMBER(VLOOKUP("9012InRod",'Cover Sheet'!$B$34:$AA$44,13,0)),(VLOOKUP("9012InRod",'Cover Sheet'!$B$34:$AA$44,24,0)),""))</f>
        <v/>
      </c>
      <c r="HM2" s="254"/>
      <c r="HN2" s="251" t="str">
        <f>IF(ISNUMBER(VLOOKUP(9057,'Cover Sheet'!$B$34:$AA$44,13,0)),(VLOOKUP(9057,'Cover Sheet'!$B$34:$AA$44,2,0)),"")</f>
        <v/>
      </c>
      <c r="HO2" s="251" t="str">
        <f>IF(ISNUMBER(VLOOKUP(9057,'Cover Sheet'!$B$34:$AA$44,13,0)),(VLOOKUP(9057,'Cover Sheet'!$B$34:$AA$44,3,0)),"")</f>
        <v/>
      </c>
      <c r="HP2" s="251" t="str">
        <f>IF(ISNUMBER(VLOOKUP(9057,'Cover Sheet'!$B$34:$AA$44,13,0)),(VLOOKUP(9057,'Cover Sheet'!$B$34:$AA$44,4,0)),"")</f>
        <v/>
      </c>
      <c r="HQ2" s="251" t="str">
        <f>IF(ISNUMBER(VLOOKUP(9057,'Cover Sheet'!$B$34:$AA$44,13,0)),(VLOOKUP(9057,'Cover Sheet'!$B$34:$AA$44,5,0)),"")</f>
        <v/>
      </c>
      <c r="HR2" s="252" t="str">
        <f>IF(ISNUMBER(VLOOKUP(9057,'Cover Sheet'!$B$34:$AA$44,13,0)),(VLOOKUP(9057,'Cover Sheet'!$B$34:$AA$44,6,0)),"")</f>
        <v/>
      </c>
      <c r="HS2" s="251" t="str">
        <f>IF(ISNUMBER(VLOOKUP(9057,'Cover Sheet'!$B$34:$AA$44,13,0)),(VLOOKUP(9057,'Cover Sheet'!$B$34:$AA$44,7,0)),"")</f>
        <v/>
      </c>
      <c r="HT2" s="251" t="str">
        <f>IF(ISNUMBER(VLOOKUP(9057,'Cover Sheet'!$B$34:$AA$44,13,0)),(VLOOKUP(9057,'Cover Sheet'!$B$34:$AA$44,8,0)),"")</f>
        <v/>
      </c>
      <c r="HU2" s="253" t="str">
        <f>IF(ISNUMBER(VLOOKUP(9057,'Cover Sheet'!$B$34:$AA$44,13,0)),(VLOOKUP(9057,'Cover Sheet'!$B$34:$AA$44,9,0)),"")</f>
        <v/>
      </c>
      <c r="HV2" s="253" t="str">
        <f>IF(ISNUMBER(VLOOKUP(9057,'Cover Sheet'!$B$34:$AA$44,13,0)),(VLOOKUP(9057,'Cover Sheet'!$B$34:$AA$44,10,0)),"")</f>
        <v/>
      </c>
      <c r="HW2" s="254" t="str">
        <f>IF(ISNUMBER(VLOOKUP(9057,'Cover Sheet'!$B$34:$AA$44,13,0)),(VLOOKUP(9057,'Cover Sheet'!$B$34:$AA$44,11,0)),"")</f>
        <v/>
      </c>
      <c r="HX2" s="254" t="str">
        <f>IF(ISNUMBER(VLOOKUP(9057,'Cover Sheet'!$B$34:$AA$44,13,0)),(VLOOKUP(9057,'Cover Sheet'!$B$34:$AA$44,13,0)),"")</f>
        <v/>
      </c>
      <c r="HY2" s="254" t="str">
        <f>IF(ISNUMBER(VLOOKUP(9057,'Cover Sheet'!$B$34:$AA$44,13,0)),(VLOOKUP(9057,'Cover Sheet'!$B$34:$AA$44,24,0)),"")</f>
        <v/>
      </c>
      <c r="HZ2" s="254"/>
      <c r="IA2" s="251" t="str">
        <f>IF(ISNUMBER(VLOOKUP(9238,'Cover Sheet'!$B$34:$AA$44,13,0)),(VLOOKUP(9238,'Cover Sheet'!$B$34:$AA$44,2,0)),"")</f>
        <v/>
      </c>
      <c r="IB2" s="251" t="str">
        <f>IF(ISNUMBER(VLOOKUP(9238,'Cover Sheet'!$B$34:$AA$44,13,0)),(VLOOKUP(9238,'Cover Sheet'!$B$34:$AA$44,3,0)),"")</f>
        <v/>
      </c>
      <c r="IC2" s="251" t="str">
        <f>IF(ISNUMBER(VLOOKUP(9238,'Cover Sheet'!$B$34:$AA$44,13,0)),(VLOOKUP(9238,'Cover Sheet'!$B$34:$AA$44,4,0)),"")</f>
        <v/>
      </c>
      <c r="ID2" s="251" t="str">
        <f>IF(ISNUMBER(VLOOKUP(9238,'Cover Sheet'!$B$34:$AA$44,13,0)),(VLOOKUP(9238,'Cover Sheet'!$B$34:$AA$44,5,0)),"")</f>
        <v/>
      </c>
      <c r="IE2" s="252" t="str">
        <f>IF(ISNUMBER(VLOOKUP(9238,'Cover Sheet'!$B$34:$AA$44,13,0)),(VLOOKUP(9238,'Cover Sheet'!$B$34:$AA$44,6,0)),"")</f>
        <v/>
      </c>
      <c r="IF2" s="251" t="str">
        <f>IF(ISNUMBER(VLOOKUP(9238,'Cover Sheet'!$B$34:$AA$44,13,0)),(VLOOKUP(9238,'Cover Sheet'!$B$34:$AA$44,7,0)),"")</f>
        <v/>
      </c>
      <c r="IG2" s="251" t="str">
        <f>IF(ISNUMBER(VLOOKUP(9238,'Cover Sheet'!$B$34:$AA$44,13,0)),(VLOOKUP(9238,'Cover Sheet'!$B$34:$AA$44,8,0)),"")</f>
        <v/>
      </c>
      <c r="IH2" s="253" t="str">
        <f>IF(ISNUMBER(VLOOKUP(9238,'Cover Sheet'!$B$34:$AA$44,13,0)),(VLOOKUP(9238,'Cover Sheet'!$B$34:$AA$44,9,0)),"")</f>
        <v/>
      </c>
      <c r="II2" s="253" t="str">
        <f>IF(ISNUMBER(VLOOKUP(9238,'Cover Sheet'!$B$34:$AA$44,13,0)),(VLOOKUP(9238,'Cover Sheet'!$B$34:$AA$44,10,0)),"")</f>
        <v/>
      </c>
      <c r="IJ2" s="254" t="str">
        <f>IF(ISNUMBER(VLOOKUP(9238,'Cover Sheet'!$B$34:$AA$44,13,0)),(VLOOKUP(9238,'Cover Sheet'!$B$34:$AA$44,11,0)),"")</f>
        <v/>
      </c>
      <c r="IK2" s="254" t="str">
        <f>IF(ISNUMBER(VLOOKUP(9238,'Cover Sheet'!$B$34:$AA$44,13,0)),(VLOOKUP(9238,'Cover Sheet'!$B$34:$AA$44,13,0)),"")</f>
        <v/>
      </c>
      <c r="IL2" s="254" t="str">
        <f>IF(ISNUMBER(VLOOKUP(9238,'Cover Sheet'!$B$34:$AA$44,13,0)),(VLOOKUP(9238,'Cover Sheet'!$B$34:$AA$44,24,0)),"")</f>
        <v/>
      </c>
      <c r="IM2" s="254">
        <v>0</v>
      </c>
      <c r="IN2" s="251">
        <f>IF(ISNUMBER(VLOOKUP(9239,'Cover Sheet'!$B$34:$AA$44,13,0)),(VLOOKUP(9239,'Cover Sheet'!$B$34:$AA$44,2,0)),"")</f>
        <v>2766</v>
      </c>
      <c r="IO2" s="251" t="str">
        <f>IF(ISNUMBER(VLOOKUP(9239,'Cover Sheet'!$B$34:$AA$44,13,0)),(VLOOKUP(9239,'Cover Sheet'!$B$34:$AA$44,3,0)),"")</f>
        <v>H003/21</v>
      </c>
      <c r="IP2" s="251" t="str">
        <f>IF(ISNUMBER(VLOOKUP(9239,'Cover Sheet'!$B$34:$AA$44,13,0)),(VLOOKUP(9239,'Cover Sheet'!$B$34:$AA$44,4,0)),"")</f>
        <v>Open Hole</v>
      </c>
      <c r="IQ2" s="251" t="str">
        <f>IF(ISNUMBER(VLOOKUP(9239,'Cover Sheet'!$B$34:$AA$44,13,0)),(VLOOKUP(9239,'Cover Sheet'!$B$34:$AA$44,5,0)),"")</f>
        <v>N</v>
      </c>
      <c r="IR2" s="252">
        <f>IF(ISNUMBER(VLOOKUP(9239,'Cover Sheet'!$B$34:$AA$44,13,0)),(VLOOKUP(9239,'Cover Sheet'!$B$34:$AA$44,6,0)),"")</f>
        <v>46102</v>
      </c>
      <c r="IS2" s="251" t="str">
        <f>IF(ISNUMBER(VLOOKUP(9239,'Cover Sheet'!$B$34:$AA$44,13,0)),(VLOOKUP(9239,'Cover Sheet'!$B$34:$AA$44,7,0)),"")</f>
        <v>TJJ</v>
      </c>
      <c r="IT2" s="251">
        <f>IF(ISNUMBER(VLOOKUP(9239,'Cover Sheet'!$B$34:$AA$44,13,0)),(VLOOKUP(9239,'Cover Sheet'!$B$34:$AA$44,8,0)),"")</f>
        <v>2107</v>
      </c>
      <c r="IU2" s="253">
        <f>IF(ISNUMBER(VLOOKUP(9239,'Cover Sheet'!$B$34:$AA$44,13,0)),(VLOOKUP(9239,'Cover Sheet'!$B$34:$AA$44,9,0)),"")</f>
        <v>0.47916666666666669</v>
      </c>
      <c r="IV2" s="253">
        <f>IF(ISNUMBER(VLOOKUP(9239,'Cover Sheet'!$B$34:$AA$44,13,0)),(VLOOKUP(9239,'Cover Sheet'!$B$34:$AA$44,10,0)),"")</f>
        <v>0.5</v>
      </c>
      <c r="IW2" s="254">
        <f>IF(ISNUMBER(VLOOKUP(9239,'Cover Sheet'!$B$34:$AA$44,13,0)),(VLOOKUP(9239,'Cover Sheet'!$B$34:$AA$44,11,0)),"")</f>
        <v>0</v>
      </c>
      <c r="IX2" s="254">
        <f>IF(ISNUMBER(VLOOKUP(9239,'Cover Sheet'!$B$34:$AA$44,13,0)),(VLOOKUP(9239,'Cover Sheet'!$B$34:$AA$44,13,0)),"")</f>
        <v>34.4</v>
      </c>
      <c r="IY2" s="254">
        <f>IF(ISNUMBER(VLOOKUP(9239,'Cover Sheet'!$B$34:$AA$44,13,0)),(VLOOKUP(9239,'Cover Sheet'!$B$34:$AA$44,24,0)),"")</f>
        <v>0</v>
      </c>
      <c r="IZ2" s="254">
        <v>0</v>
      </c>
      <c r="JA2" s="251" t="str">
        <f>IF(ISNUMBER(VLOOKUP(9321,'Cover Sheet'!$B$34:$AA$44,13,0)),(VLOOKUP(9321,'Cover Sheet'!$B$34:$AA$44,2,0)),"")</f>
        <v/>
      </c>
      <c r="JB2" s="251" t="str">
        <f>IF(ISNUMBER(VLOOKUP(9321,'Cover Sheet'!$B$34:$AA$44,13,0)),(VLOOKUP(9321,'Cover Sheet'!$B$34:$AA$44,3,0)),"")</f>
        <v/>
      </c>
      <c r="JC2" s="251" t="str">
        <f>IF(ISNUMBER(VLOOKUP(9321,'Cover Sheet'!$B$34:$AA$44,13,0)),(VLOOKUP(9321,'Cover Sheet'!$B$34:$AA$44,4,0)),"")</f>
        <v/>
      </c>
      <c r="JD2" s="251" t="str">
        <f>IF(ISNUMBER(VLOOKUP(9321,'Cover Sheet'!$B$34:$AA$44,13,0)),(VLOOKUP(9321,'Cover Sheet'!$B$34:$AA$44,5,0)),"")</f>
        <v/>
      </c>
      <c r="JE2" s="252" t="str">
        <f>IF(ISNUMBER(VLOOKUP(9321,'Cover Sheet'!$B$34:$AA$44,13,0)),(VLOOKUP(9321,'Cover Sheet'!$B$34:$AA$44,6,0)),"")</f>
        <v/>
      </c>
      <c r="JF2" s="251" t="str">
        <f>IF(ISNUMBER(VLOOKUP(9321,'Cover Sheet'!$B$34:$AA$44,13,0)),(VLOOKUP(9321,'Cover Sheet'!$B$34:$AA$44,7,0)),"")</f>
        <v/>
      </c>
      <c r="JG2" s="251" t="str">
        <f>IF(ISNUMBER(VLOOKUP(9321,'Cover Sheet'!$B$34:$AA$44,13,0)),(VLOOKUP(9321,'Cover Sheet'!$B$34:$AA$44,8,0)),"")</f>
        <v/>
      </c>
      <c r="JH2" s="253" t="str">
        <f>IF(ISNUMBER(VLOOKUP(9321,'Cover Sheet'!$B$34:$AA$44,13,0)),(VLOOKUP(9321,'Cover Sheet'!$B$34:$AA$44,9,0)),"")</f>
        <v/>
      </c>
      <c r="JI2" s="253" t="str">
        <f>IF(ISNUMBER(VLOOKUP(9321,'Cover Sheet'!$B$34:$AA$44,13,0)),(VLOOKUP(9321,'Cover Sheet'!$B$34:$AA$44,10,0)),"")</f>
        <v/>
      </c>
      <c r="JJ2" s="254" t="str">
        <f>IF(ISNUMBER(VLOOKUP(9321,'Cover Sheet'!$B$34:$AA$44,13,0)),(VLOOKUP(9321,'Cover Sheet'!$B$34:$AA$44,11,0)),"")</f>
        <v/>
      </c>
      <c r="JK2" s="254" t="str">
        <f>IF(ISNUMBER(VLOOKUP(9321,'Cover Sheet'!$B$34:$AA$44,13,0)),(VLOOKUP(9321,'Cover Sheet'!$B$34:$AA$44,13,0)),"")</f>
        <v/>
      </c>
      <c r="JL2" s="254" t="str">
        <f>IF(ISNUMBER(VLOOKUP(9321,'Cover Sheet'!$B$34:$AA$44,13,0)),(VLOOKUP(9321,'Cover Sheet'!$B$34:$AA$44,24,0)),"")</f>
        <v/>
      </c>
      <c r="JM2" s="254"/>
      <c r="JN2" s="251" t="str">
        <f>IF(ISNUMBER(VLOOKUP("MCST",'Cover Sheet'!$B$34:$AA$44,13,0)),(VLOOKUP("MCST",'Cover Sheet'!$B$34:$AA$44,2,0)),"")</f>
        <v/>
      </c>
      <c r="JO2" s="251" t="str">
        <f>IF(ISNUMBER(VLOOKUP("MCST",'Cover Sheet'!$B$34:$AA$44,13,0)),(VLOOKUP("MCST",'Cover Sheet'!$B$34:$AA$44,3,0)),"")</f>
        <v/>
      </c>
      <c r="JP2" s="251" t="str">
        <f>IF(ISNUMBER(VLOOKUP("MCST",'Cover Sheet'!$B$34:$AA$44,13,0)),(VLOOKUP("MCST",'Cover Sheet'!$B$34:$AA$44,4,0)),"")</f>
        <v/>
      </c>
      <c r="JQ2" s="251" t="str">
        <f>IF(ISNUMBER(VLOOKUP("MCST",'Cover Sheet'!$B$34:$AA$44,13,0)),(VLOOKUP("MCST",'Cover Sheet'!$B$34:$AA$44,5,0)),"")</f>
        <v/>
      </c>
      <c r="JR2" s="252" t="str">
        <f>IF(ISNUMBER(VLOOKUP("MCST",'Cover Sheet'!$B$34:$AA$44,13,0)),(VLOOKUP("MCST",'Cover Sheet'!$B$34:$AA$44,6,0)),"")</f>
        <v/>
      </c>
      <c r="JS2" s="251" t="str">
        <f>IF(ISNUMBER(VLOOKUP("MCST",'Cover Sheet'!$B$34:$AA$44,13,0)),(VLOOKUP("MCST",'Cover Sheet'!$B$34:$AA$44,7,0)),"")</f>
        <v/>
      </c>
      <c r="JT2" s="251" t="str">
        <f>IF(ISNUMBER(VLOOKUP("MCST",'Cover Sheet'!$B$34:$AA$44,13,0)),(VLOOKUP("MCST",'Cover Sheet'!$B$34:$AA$44,8,0)),"")</f>
        <v/>
      </c>
      <c r="JU2" s="253" t="str">
        <f>IF(ISNUMBER(VLOOKUP("MCST",'Cover Sheet'!$B$34:$AA$44,13,0)),(VLOOKUP("MCST",'Cover Sheet'!$B$34:$AA$44,9,0)),"")</f>
        <v/>
      </c>
      <c r="JV2" s="253" t="str">
        <f>IF(ISNUMBER(VLOOKUP("MCST",'Cover Sheet'!$B$34:$AA$44,13,0)),(VLOOKUP("MCST",'Cover Sheet'!$B$34:$AA$44,10,0)),"")</f>
        <v/>
      </c>
      <c r="JW2" s="254" t="str">
        <f>IF(ISNUMBER(VLOOKUP("MCST",'Cover Sheet'!$B$34:$AA$44,13,0)),(VLOOKUP("MCST",'Cover Sheet'!$B$34:$AA$44,11,0)),"")</f>
        <v/>
      </c>
      <c r="JX2" s="254" t="str">
        <f>IF(ISNUMBER(VLOOKUP("MCST",'Cover Sheet'!$B$34:$AA$44,13,0)),(VLOOKUP("MCST",'Cover Sheet'!$B$34:$AA$44,13,0)),"")</f>
        <v/>
      </c>
      <c r="JY2" s="254" t="str">
        <f>IF(ISNUMBER(VLOOKUP("MCST",'Cover Sheet'!$B$34:$AA$44,13,0)),(VLOOKUP("MCST",'Cover Sheet'!$B$34:$AA$44,24,0)),"")</f>
        <v/>
      </c>
      <c r="JZ2" s="254"/>
      <c r="KA2" s="251" t="str">
        <f>IF(ISNUMBER(VLOOKUP(9510,'Cover Sheet'!$B$34:$AA$44,13,0)),(VLOOKUP(9510,'Cover Sheet'!$B$34:$AA$44,2,0)),"")</f>
        <v/>
      </c>
      <c r="KB2" s="251" t="str">
        <f>IF(ISNUMBER(VLOOKUP(9510,'Cover Sheet'!$B$34:$AA$44,13,0)),(VLOOKUP(9510,'Cover Sheet'!$B$34:$AA$44,3,0)),"")</f>
        <v/>
      </c>
      <c r="KC2" s="251" t="str">
        <f>IF(ISNUMBER(VLOOKUP(9510,'Cover Sheet'!$B$34:$AA$44,13,0)),(VLOOKUP(9510,'Cover Sheet'!$B$34:$AA$44,4,0)),"")</f>
        <v/>
      </c>
      <c r="KD2" s="251" t="str">
        <f>IF(ISNUMBER(VLOOKUP(9510,'Cover Sheet'!$B$34:$AA$44,13,0)),(VLOOKUP(9510,'Cover Sheet'!$B$34:$AA$44,5,0)),"")</f>
        <v/>
      </c>
      <c r="KE2" s="252" t="str">
        <f>IF(ISNUMBER(VLOOKUP(9510,'Cover Sheet'!$B$34:$AA$44,13,0)),(VLOOKUP(9510,'Cover Sheet'!$B$34:$AA$44,6,0)),"")</f>
        <v/>
      </c>
      <c r="KF2" s="251" t="str">
        <f>IF(ISNUMBER(VLOOKUP(9510,'Cover Sheet'!$B$34:$AA$44,13,0)),(VLOOKUP(9510,'Cover Sheet'!$B$34:$AA$44,7,0)),"")</f>
        <v/>
      </c>
      <c r="KG2" s="251" t="str">
        <f>IF(ISNUMBER(VLOOKUP(9510,'Cover Sheet'!$B$34:$AA$44,13,0)),(VLOOKUP(9510,'Cover Sheet'!$B$34:$AA$44,8,0)),"")</f>
        <v/>
      </c>
      <c r="KH2" s="253" t="str">
        <f>IF(ISNUMBER(VLOOKUP(9510,'Cover Sheet'!$B$34:$AA$44,13,0)),(VLOOKUP(9510,'Cover Sheet'!$B$34:$AA$44,9,0)),"")</f>
        <v/>
      </c>
      <c r="KI2" s="253" t="str">
        <f>IF(ISNUMBER(VLOOKUP(9510,'Cover Sheet'!$B$34:$AA$44,13,0)),(VLOOKUP(9510,'Cover Sheet'!$B$34:$AA$44,10,0)),"")</f>
        <v/>
      </c>
      <c r="KJ2" s="254" t="str">
        <f>IF(ISNUMBER(VLOOKUP(9510,'Cover Sheet'!$B$34:$AA$44,13,0)),(VLOOKUP(9510,'Cover Sheet'!$B$34:$AA$44,11,0)),"")</f>
        <v/>
      </c>
      <c r="KK2" s="254" t="str">
        <f>IF(ISNUMBER(VLOOKUP(9510,'Cover Sheet'!$B$34:$AA$44,13,0)),(VLOOKUP(9510,'Cover Sheet'!$B$34:$AA$44,13,0)),"")</f>
        <v/>
      </c>
      <c r="KL2" s="254" t="str">
        <f>IF(ISNUMBER(VLOOKUP(9510,'Cover Sheet'!$B$34:$AA$44,13,0)),(VLOOKUP(9510,'Cover Sheet'!$B$34:$AA$44,24,0)),"")</f>
        <v/>
      </c>
      <c r="KM2" s="254"/>
      <c r="KN2" s="251">
        <f>IF(ISNUMBER(VLOOKUP(9622,'Cover Sheet'!$B$34:$AA$44,13,0)),(VLOOKUP(9622,'Cover Sheet'!$B$34:$AA$44,2,0)),"")</f>
        <v>4364</v>
      </c>
      <c r="KO2" s="251" t="str">
        <f>IF(ISNUMBER(VLOOKUP(9622,'Cover Sheet'!$B$34:$AA$44,13,0)),(VLOOKUP(9622,'Cover Sheet'!$B$34:$AA$44,3,0)),"")</f>
        <v>-</v>
      </c>
      <c r="KP2" s="251" t="str">
        <f>IF(ISNUMBER(VLOOKUP(9622,'Cover Sheet'!$B$34:$AA$44,13,0)),(VLOOKUP(9622,'Cover Sheet'!$B$34:$AA$44,4,0)),"")</f>
        <v>Open Hole</v>
      </c>
      <c r="KQ2" s="251" t="str">
        <f>IF(ISNUMBER(VLOOKUP(9622,'Cover Sheet'!$B$34:$AA$44,13,0)),(VLOOKUP(9622,'Cover Sheet'!$B$34:$AA$44,5,0)),"")</f>
        <v>N</v>
      </c>
      <c r="KR2" s="252">
        <f>IF(ISNUMBER(VLOOKUP(9622,'Cover Sheet'!$B$34:$AA$44,13,0)),(VLOOKUP(9622,'Cover Sheet'!$B$34:$AA$44,6,0)),"")</f>
        <v>46102</v>
      </c>
      <c r="KS2" s="251" t="str">
        <f>IF(ISNUMBER(VLOOKUP(9622,'Cover Sheet'!$B$34:$AA$44,13,0)),(VLOOKUP(9622,'Cover Sheet'!$B$34:$AA$44,7,0)),"")</f>
        <v>TJJ</v>
      </c>
      <c r="KT2" s="251">
        <f>IF(ISNUMBER(VLOOKUP(9622,'Cover Sheet'!$B$34:$AA$44,13,0)),(VLOOKUP(9622,'Cover Sheet'!$B$34:$AA$44,8,0)),"")</f>
        <v>2107</v>
      </c>
      <c r="KU2" s="253">
        <f>IF(ISNUMBER(VLOOKUP(9622,'Cover Sheet'!$B$34:$AA$44,13,0)),(VLOOKUP(9622,'Cover Sheet'!$B$34:$AA$44,9,0)),"")</f>
        <v>0.45833333333333331</v>
      </c>
      <c r="KV2" s="253">
        <f>IF(ISNUMBER(VLOOKUP(9622,'Cover Sheet'!$B$34:$AA$44,13,0)),(VLOOKUP(9622,'Cover Sheet'!$B$34:$AA$44,10,0)),"")</f>
        <v>0.47916666666666669</v>
      </c>
      <c r="KW2" s="254">
        <f>IF(ISNUMBER(VLOOKUP(9622,'Cover Sheet'!$B$34:$AA$44,13,0)),(VLOOKUP(9622,'Cover Sheet'!$B$34:$AA$44,11,0)),"")</f>
        <v>0</v>
      </c>
      <c r="KX2" s="254">
        <f>IF(ISNUMBER(VLOOKUP(9622,'Cover Sheet'!$B$34:$AA$44,13,0)),(VLOOKUP(9622,'Cover Sheet'!$B$34:$AA$44,13,0)),"")</f>
        <v>35.4</v>
      </c>
      <c r="KY2" s="254">
        <f>IF(ISNUMBER(VLOOKUP(9622,'Cover Sheet'!$B$34:$AA$44,13,0)),(VLOOKUP(9622,'Cover Sheet'!$B$34:$AA$44,24,0)),"")</f>
        <v>0</v>
      </c>
      <c r="KZ2" s="254">
        <v>0</v>
      </c>
      <c r="LA2" s="251" t="str">
        <f>IF(ISNUMBER(VLOOKUP("ABI",'Cover Sheet'!$B$34:$AA$44,13,0)),(VLOOKUP("ABI",'Cover Sheet'!$B$34:$AA$44,2,0)),"")</f>
        <v/>
      </c>
      <c r="LB2" s="251" t="str">
        <f>IF(ISNUMBER(VLOOKUP("ABI",'Cover Sheet'!$B$34:$AA$44,13,0)),(VLOOKUP("ABI",'Cover Sheet'!$B$34:$AA$44,3,0)),"")</f>
        <v/>
      </c>
      <c r="LC2" s="251" t="str">
        <f>IF(ISNUMBER(VLOOKUP("ABI",'Cover Sheet'!$B$34:$AA$44,13,0)),(VLOOKUP("ABI",'Cover Sheet'!$B$34:$AA$44,4,0)),"")</f>
        <v/>
      </c>
      <c r="LD2" s="251" t="str">
        <f>IF(ISNUMBER(VLOOKUP("ABI",'Cover Sheet'!$B$34:$AA$44,13,0)),(VLOOKUP("ABI",'Cover Sheet'!$B$34:$AA$44,5,0)),"")</f>
        <v/>
      </c>
      <c r="LE2" s="252" t="str">
        <f>IF(ISNUMBER(VLOOKUP("ABI",'Cover Sheet'!$B$34:$AA$44,13,0)),(VLOOKUP("ABI",'Cover Sheet'!$B$34:$AA$44,6,0)),"")</f>
        <v/>
      </c>
      <c r="LF2" s="251" t="str">
        <f>IF(ISNUMBER(VLOOKUP("ABI",'Cover Sheet'!$B$34:$AA$44,13,0)),(VLOOKUP("ABI",'Cover Sheet'!$B$34:$AA$44,7,0)),"")</f>
        <v/>
      </c>
      <c r="LG2" s="251" t="str">
        <f>IF(ISNUMBER(VLOOKUP("ABI",'Cover Sheet'!$B$34:$AA$44,13,0)),(VLOOKUP("ABI",'Cover Sheet'!$B$34:$AA$44,8,0)),"")</f>
        <v/>
      </c>
      <c r="LH2" s="253" t="str">
        <f>IF(ISNUMBER(VLOOKUP("ABI",'Cover Sheet'!$B$34:$AA$44,13,0)),(VLOOKUP("ABI",'Cover Sheet'!$B$34:$AA$44,9,0)),"")</f>
        <v/>
      </c>
      <c r="LI2" s="253" t="str">
        <f>IF(ISNUMBER(VLOOKUP("ABI",'Cover Sheet'!$B$34:$AA$44,13,0)),(VLOOKUP("ABI",'Cover Sheet'!$B$34:$AA$44,10,0)),"")</f>
        <v/>
      </c>
      <c r="LJ2" s="254" t="str">
        <f>IF(ISNUMBER(VLOOKUP("ABI",'Cover Sheet'!$B$34:$AA$44,13,0)),(VLOOKUP("ABI",'Cover Sheet'!$B$34:$AA$44,11,0)),"")</f>
        <v/>
      </c>
      <c r="LK2" s="254" t="str">
        <f>IF(ISNUMBER(VLOOKUP("ABI",'Cover Sheet'!$B$34:$AA$44,13,0)),(VLOOKUP("ABI",'Cover Sheet'!$B$34:$AA$44,13,0)),"")</f>
        <v/>
      </c>
      <c r="LL2" s="254" t="str">
        <f>IF(ISNUMBER(VLOOKUP("ABI",'Cover Sheet'!$B$34:$AA$44,13,0)),(VLOOKUP("ABI",'Cover Sheet'!$B$34:$AA$44,24,0)),"")</f>
        <v/>
      </c>
      <c r="LM2" s="254"/>
      <c r="LN2" s="251">
        <f>IF(ISNUMBER(VLOOKUP("OBI",'Cover Sheet'!$B$34:$AA$44,13,0)),(VLOOKUP("OBI",'Cover Sheet'!$B$34:$AA$44,2,0)),"")</f>
        <v>1118</v>
      </c>
      <c r="LO2" s="251" t="str">
        <f>IF(ISNUMBER(VLOOKUP("OBI",'Cover Sheet'!$B$34:$AA$44,13,0)),(VLOOKUP("OBI",'Cover Sheet'!$B$34:$AA$44,3,0)),"")</f>
        <v>-</v>
      </c>
      <c r="LP2" s="251" t="str">
        <f>IF(ISNUMBER(VLOOKUP("OBI",'Cover Sheet'!$B$34:$AA$44,13,0)),(VLOOKUP("OBI",'Cover Sheet'!$B$34:$AA$44,4,0)),"")</f>
        <v>Open Hole</v>
      </c>
      <c r="LQ2" s="251" t="str">
        <f>IF(ISNUMBER(VLOOKUP("OBI",'Cover Sheet'!$B$34:$AA$44,13,0)),(VLOOKUP("OBI",'Cover Sheet'!$B$34:$AA$44,5,0)),"")</f>
        <v>N</v>
      </c>
      <c r="LR2" s="252">
        <f>IF(ISNUMBER(VLOOKUP("OBI",'Cover Sheet'!$B$34:$AA$44,13,0)),(VLOOKUP("OBI",'Cover Sheet'!$B$34:$AA$44,6,0)),"")</f>
        <v>46102</v>
      </c>
      <c r="LS2" s="251" t="str">
        <f>IF(ISNUMBER(VLOOKUP("OBI",'Cover Sheet'!$B$34:$AA$44,13,0)),(VLOOKUP("OBI",'Cover Sheet'!$B$34:$AA$44,7,0)),"")</f>
        <v>TJJ</v>
      </c>
      <c r="LT2" s="251">
        <f>IF(ISNUMBER(VLOOKUP("OBI",'Cover Sheet'!$B$34:$AA$44,13,0)),(VLOOKUP("OBI",'Cover Sheet'!$B$34:$AA$44,8,0)),"")</f>
        <v>2107</v>
      </c>
      <c r="LU2" s="253">
        <f>IF(ISNUMBER(VLOOKUP("OBI",'Cover Sheet'!$B$34:$AA$44,13,0)),(VLOOKUP("OBI",'Cover Sheet'!$B$34:$AA$44,9,0)),"")</f>
        <v>0.5</v>
      </c>
      <c r="LV2" s="253">
        <f>IF(ISNUMBER(VLOOKUP("OBI",'Cover Sheet'!$B$34:$AA$44,13,0)),(VLOOKUP("OBI",'Cover Sheet'!$B$34:$AA$44,10,0)),"")</f>
        <v>0.52083333333333337</v>
      </c>
      <c r="LW2" s="254">
        <f>IF(ISNUMBER(VLOOKUP("OBI",'Cover Sheet'!$B$34:$AA$44,13,0)),(VLOOKUP("OBI",'Cover Sheet'!$B$34:$AA$44,11,0)),"")</f>
        <v>0</v>
      </c>
      <c r="LX2" s="254">
        <f>IF(ISNUMBER(VLOOKUP("OBI",'Cover Sheet'!$B$34:$AA$44,13,0)),(VLOOKUP("OBI",'Cover Sheet'!$B$34:$AA$44,13,0)),"")</f>
        <v>34.4</v>
      </c>
      <c r="LY2" s="254">
        <f>IF(ISNUMBER(VLOOKUP("OBI",'Cover Sheet'!$B$34:$AA$44,13,0)),(VLOOKUP("OBI",'Cover Sheet'!$B$34:$AA$44,24,0)),"")</f>
        <v>0</v>
      </c>
      <c r="LZ2" s="254"/>
      <c r="MA2" s="251" t="str">
        <f>IF(ISNUMBER(VLOOKUP("9098-Gyro",'Cover Sheet'!$B$34:$AA$44,13,0)),(VLOOKUP("9098-Gyro",'Cover Sheet'!$B$34:$AA$44,2,0)),"")</f>
        <v/>
      </c>
      <c r="MB2" s="251" t="str">
        <f>IF(ISNUMBER(VLOOKUP("9098-Gyro",'Cover Sheet'!$B$34:$AA$44,13,0)),(VLOOKUP("9098-Gyro",'Cover Sheet'!$B$34:$AA$44,3,0)),"")</f>
        <v/>
      </c>
      <c r="MC2" s="251" t="str">
        <f>IF(ISNUMBER(VLOOKUP("9098-Gyro",'Cover Sheet'!$B$34:$AA$44,13,0)),(VLOOKUP("9098-Gyro",'Cover Sheet'!$B$34:$AA$44,4,0)),"")</f>
        <v/>
      </c>
      <c r="MD2" s="251" t="str">
        <f>IF(ISNUMBER(VLOOKUP("9098-Gyro",'Cover Sheet'!$B$34:$AA$44,13,0)),(VLOOKUP("9098-Gyro",'Cover Sheet'!$B$34:$AA$44,5,0)),"")</f>
        <v/>
      </c>
      <c r="ME2" s="252" t="str">
        <f>IF(ISNUMBER(VLOOKUP("9098-Gyro",'Cover Sheet'!$B$34:$AA$44,13,0)),(VLOOKUP("9098-Gyro",'Cover Sheet'!$B$34:$AA$44,6,0)),"")</f>
        <v/>
      </c>
      <c r="MF2" s="251" t="str">
        <f>IF(ISNUMBER(VLOOKUP("9098-Gyro",'Cover Sheet'!$B$34:$AA$44,13,0)),(VLOOKUP("9098-Gyro",'Cover Sheet'!$B$34:$AA$44,7,0)),"")</f>
        <v/>
      </c>
      <c r="MG2" s="251" t="str">
        <f>IF(ISNUMBER(VLOOKUP("9098-Gyro",'Cover Sheet'!$B$34:$AA$44,13,0)),(VLOOKUP("9098-Gyro",'Cover Sheet'!$B$34:$AA$44,8,0)),"")</f>
        <v/>
      </c>
      <c r="MH2" s="253" t="str">
        <f>IF(ISNUMBER(VLOOKUP("9098-Gyro",'Cover Sheet'!$B$34:$AA$44,13,0)),(VLOOKUP("9098-Gyro",'Cover Sheet'!$B$34:$AA$44,9,0)),"")</f>
        <v/>
      </c>
      <c r="MI2" s="253" t="str">
        <f>IF(ISNUMBER(VLOOKUP("9098-Gyro",'Cover Sheet'!$B$34:$AA$44,13,0)),(VLOOKUP("9098-Gyro",'Cover Sheet'!$B$34:$AA$44,10,0)),"")</f>
        <v/>
      </c>
      <c r="MJ2" s="254" t="str">
        <f>IF(ISNUMBER(VLOOKUP("9098-Gyro",'Cover Sheet'!$B$34:$AA$44,13,0)),(VLOOKUP("9098-Gyro",'Cover Sheet'!$B$34:$AA$44,11,0)),"")</f>
        <v/>
      </c>
      <c r="MK2" s="254" t="str">
        <f>IF(ISNUMBER(VLOOKUP("9098-Gyro",'Cover Sheet'!$B$34:$AA$44,13,0)),(VLOOKUP("9098-Gyro",'Cover Sheet'!$B$34:$AA$44,13,0)),"")</f>
        <v/>
      </c>
      <c r="ML2" s="254" t="str">
        <f>IF(ISNUMBER(VLOOKUP("9098-Gyro",'Cover Sheet'!$B$34:$AA$44,13,0)),(VLOOKUP("9098-Gyro",'Cover Sheet'!$B$34:$AA$44,24,0)),"")</f>
        <v/>
      </c>
      <c r="MM2" s="254"/>
      <c r="MN2" s="251" t="str">
        <f>IF(ISNUMBER(VLOOKUP("MemsGyro",'Cover Sheet'!$B$34:$AA$44,13,0)),(VLOOKUP("MemsGyro",'Cover Sheet'!$B$34:$AA$44,2,0)),"")</f>
        <v/>
      </c>
      <c r="MO2" s="251" t="str">
        <f>IF(ISNUMBER(VLOOKUP("MemsGyro",'Cover Sheet'!$B$34:$AA$44,13,0)),(VLOOKUP("MemsGyro",'Cover Sheet'!$B$34:$AA$44,3,0)),"")</f>
        <v/>
      </c>
      <c r="MP2" s="251" t="str">
        <f>IF(ISNUMBER(VLOOKUP("MemsGyro",'Cover Sheet'!$B$34:$AA$44,13,0)),(VLOOKUP("MemsGyro",'Cover Sheet'!$B$34:$AA$44,4,0)),"")</f>
        <v/>
      </c>
      <c r="MQ2" s="251" t="str">
        <f>IF(ISNUMBER(VLOOKUP("MemsGyro",'Cover Sheet'!$B$34:$AA$44,13,0)),(VLOOKUP("MemsGyro",'Cover Sheet'!$B$34:$AA$44,5,0)),"")</f>
        <v/>
      </c>
      <c r="MR2" s="252" t="str">
        <f>IF(ISNUMBER(VLOOKUP("MemsGyro",'Cover Sheet'!$B$34:$AA$44,13,0)),(VLOOKUP("MemsGyro",'Cover Sheet'!$B$34:$AA$44,6,0)),"")</f>
        <v/>
      </c>
      <c r="MS2" s="251" t="str">
        <f>IF(ISNUMBER(VLOOKUP("MemsGyro",'Cover Sheet'!$B$34:$AA$44,13,0)),(VLOOKUP("MemsGyro",'Cover Sheet'!$B$34:$AA$44,7,0)),"")</f>
        <v/>
      </c>
      <c r="MT2" s="251" t="str">
        <f>IF(ISNUMBER(VLOOKUP("MemsGyro",'Cover Sheet'!$B$34:$AA$44,13,0)),(VLOOKUP("MemsGyro",'Cover Sheet'!$B$34:$AA$44,8,0)),"")</f>
        <v/>
      </c>
      <c r="MU2" s="253" t="str">
        <f>IF(ISNUMBER(VLOOKUP("MemsGyro",'Cover Sheet'!$B$34:$AA$44,13,0)),(VLOOKUP("MemsGyro",'Cover Sheet'!$B$34:$AA$44,9,0)),"")</f>
        <v/>
      </c>
      <c r="MV2" s="253" t="str">
        <f>IF(ISNUMBER(VLOOKUP("MemsGyro",'Cover Sheet'!$B$34:$AA$44,13,0)),(VLOOKUP("MemsGyro",'Cover Sheet'!$B$34:$AA$44,10,0)),"")</f>
        <v/>
      </c>
      <c r="MW2" s="254" t="str">
        <f>IF(ISNUMBER(VLOOKUP("MemsGyro",'Cover Sheet'!$B$34:$AA$44,13,0)),(VLOOKUP("MemsGyro",'Cover Sheet'!$B$34:$AA$44,11,0)),"")</f>
        <v/>
      </c>
      <c r="MX2" s="254" t="str">
        <f>IF(ISNUMBER(VLOOKUP("MemsGyro",'Cover Sheet'!$B$34:$AA$44,13,0)),(VLOOKUP("MemsGyro",'Cover Sheet'!$B$34:$AA$44,13,0)),"")</f>
        <v/>
      </c>
      <c r="MY2" s="254" t="str">
        <f>IF(ISNUMBER(VLOOKUP("MemsGyro",'Cover Sheet'!$B$34:$AA$44,13,0)),(VLOOKUP("MemsGyro",'Cover Sheet'!$B$34:$AA$44,24,0)),"")</f>
        <v/>
      </c>
      <c r="MZ2" s="254"/>
      <c r="NA2" s="251" t="str">
        <f>IF(ISNUMBER(VLOOKUP("NorthGyro",'Cover Sheet'!$B$34:$AA$44,13,0)),(VLOOKUP("NorthGyro",'Cover Sheet'!$B$34:$AA$44,2,0)),"")</f>
        <v/>
      </c>
      <c r="NB2" s="251" t="str">
        <f>IF(ISNUMBER(VLOOKUP("NorthGyro",'Cover Sheet'!$B$34:$AA$44,13,0)),(VLOOKUP("NorthGyro",'Cover Sheet'!$B$34:$AA$44,3,0)),"")</f>
        <v/>
      </c>
      <c r="NC2" s="251" t="str">
        <f>IF(ISNUMBER(VLOOKUP("NorthGyro",'Cover Sheet'!$B$34:$AA$44,13,0)),(VLOOKUP("NorthGyro",'Cover Sheet'!$B$34:$AA$44,4,0)),"")</f>
        <v/>
      </c>
      <c r="ND2" s="251" t="str">
        <f>IF(ISNUMBER(VLOOKUP("NorthGyro",'Cover Sheet'!$B$34:$AA$44,13,0)),(VLOOKUP("NorthGyro",'Cover Sheet'!$B$34:$AA$44,5,0)),"")</f>
        <v/>
      </c>
      <c r="NE2" s="252" t="str">
        <f>IF(ISNUMBER(VLOOKUP("NorthGyro",'Cover Sheet'!$B$34:$AA$44,13,0)),(VLOOKUP("NorthGyro",'Cover Sheet'!$B$34:$AA$44,6,0)),"")</f>
        <v/>
      </c>
      <c r="NF2" s="251" t="str">
        <f>IF(ISNUMBER(VLOOKUP("NorthGyro",'Cover Sheet'!$B$34:$AA$44,13,0)),(VLOOKUP("NorthGyro",'Cover Sheet'!$B$34:$AA$44,7,0)),"")</f>
        <v/>
      </c>
      <c r="NG2" s="251" t="str">
        <f>IF(ISNUMBER(VLOOKUP("NorthGyro",'Cover Sheet'!$B$34:$AA$44,13,0)),(VLOOKUP("NorthGyro",'Cover Sheet'!$B$34:$AA$44,8,0)),"")</f>
        <v/>
      </c>
      <c r="NH2" s="253" t="str">
        <f>IF(ISNUMBER(VLOOKUP("NorthGyro",'Cover Sheet'!$B$34:$AA$44,13,0)),(VLOOKUP("NorthGyro",'Cover Sheet'!$B$34:$AA$44,9,0)),"")</f>
        <v/>
      </c>
      <c r="NI2" s="253" t="str">
        <f>IF(ISNUMBER(VLOOKUP("NorthGyro",'Cover Sheet'!$B$34:$AA$44,13,0)),(VLOOKUP("NorthGyro",'Cover Sheet'!$B$34:$AA$44,10,0)),"")</f>
        <v/>
      </c>
      <c r="NJ2" s="254" t="str">
        <f>IF(ISNUMBER(VLOOKUP("NorthGyro",'Cover Sheet'!$B$34:$AA$44,13,0)),(VLOOKUP("NorthGyro",'Cover Sheet'!$B$34:$AA$44,11,0)),"")</f>
        <v/>
      </c>
      <c r="NK2" s="254" t="str">
        <f>IF(ISNUMBER(VLOOKUP("NorthGyro",'Cover Sheet'!$B$34:$AA$44,13,0)),(VLOOKUP("NorthGyro",'Cover Sheet'!$B$34:$AA$44,13,0)),"")</f>
        <v/>
      </c>
      <c r="NL2" s="254" t="str">
        <f>IF(ISNUMBER(VLOOKUP("NorthGyro",'Cover Sheet'!$B$34:$AA$44,13,0)),(VLOOKUP("NorthGyro",'Cover Sheet'!$B$34:$AA$44,24,0)),"")</f>
        <v/>
      </c>
      <c r="NM2" s="254"/>
      <c r="NN2" s="251" t="str">
        <f>IF(ISNUMBER(VLOOKUP("TGT",'Cover Sheet'!$B$34:$AA$44,13,0)),(VLOOKUP("TGT",'Cover Sheet'!$B$34:$AA$44,2,0)),"")</f>
        <v/>
      </c>
      <c r="NO2" s="251" t="str">
        <f>IF(ISNUMBER(VLOOKUP("TGT",'Cover Sheet'!$B$34:$AA$44,13,0)),(VLOOKUP("TGT",'Cover Sheet'!$B$34:$AA$44,3,0)),"")</f>
        <v/>
      </c>
      <c r="NP2" s="251" t="str">
        <f>IF(ISNUMBER(VLOOKUP("TGT",'Cover Sheet'!$B$34:$AA$44,13,0)),(VLOOKUP("TGT",'Cover Sheet'!$B$34:$AA$44,4,0)),"")</f>
        <v/>
      </c>
      <c r="NQ2" s="251" t="str">
        <f>IF(ISNUMBER(VLOOKUP("TGT",'Cover Sheet'!$B$34:$AA$44,13,0)),(VLOOKUP("TGT",'Cover Sheet'!$B$34:$AA$44,5,0)),"")</f>
        <v/>
      </c>
      <c r="NR2" s="252" t="str">
        <f>IF(ISNUMBER(VLOOKUP("TGT",'Cover Sheet'!$B$34:$AA$44,13,0)),(VLOOKUP("TGT",'Cover Sheet'!$B$34:$AA$44,6,0)),"")</f>
        <v/>
      </c>
      <c r="NS2" s="251" t="str">
        <f>IF(ISNUMBER(VLOOKUP("TGT",'Cover Sheet'!$B$34:$AA$44,13,0)),(VLOOKUP("TGT",'Cover Sheet'!$B$34:$AA$44,7,0)),"")</f>
        <v/>
      </c>
      <c r="NT2" s="251" t="str">
        <f>IF(ISNUMBER(VLOOKUP("TGT",'Cover Sheet'!$B$34:$AA$44,13,0)),(VLOOKUP("TGT",'Cover Sheet'!$B$34:$AA$44,8,0)),"")</f>
        <v/>
      </c>
      <c r="NU2" s="253" t="str">
        <f>IF(ISNUMBER(VLOOKUP("TGT",'Cover Sheet'!$B$34:$AA$44,13,0)),(VLOOKUP("TGT",'Cover Sheet'!$B$34:$AA$44,9,0)),"")</f>
        <v/>
      </c>
      <c r="NV2" s="253" t="str">
        <f>IF(ISNUMBER(VLOOKUP("TGT",'Cover Sheet'!$B$34:$AA$44,13,0)),(VLOOKUP("TGT",'Cover Sheet'!$B$34:$AA$44,10,0)),"")</f>
        <v/>
      </c>
      <c r="NW2" s="254" t="str">
        <f>IF(ISNUMBER(VLOOKUP("TGT",'Cover Sheet'!$B$34:$AA$44,13,0)),(VLOOKUP("TGT",'Cover Sheet'!$B$34:$AA$44,11,0)),"")</f>
        <v/>
      </c>
      <c r="NX2" s="254" t="str">
        <f>IF(ISNUMBER(VLOOKUP("TGT",'Cover Sheet'!$B$34:$AA$44,13,0)),(VLOOKUP("TGT",'Cover Sheet'!$B$34:$AA$44,13,0)),"")</f>
        <v/>
      </c>
      <c r="NY2" s="254" t="str">
        <f>IF(ISNUMBER(VLOOKUP("TGT",'Cover Sheet'!$B$34:$AA$44,13,0)),(VLOOKUP("TGT",'Cover Sheet'!$B$34:$AA$44,24,0)),"")</f>
        <v/>
      </c>
      <c r="NZ2" s="254"/>
      <c r="OA2" s="251" t="str">
        <f>IF(ISNUMBER(VLOOKUP("3AC",'Cover Sheet'!$B$34:$AA$44,13,0)),(VLOOKUP("3AC",'Cover Sheet'!$B$34:$AA$44,2,0)),"")</f>
        <v/>
      </c>
      <c r="OB2" s="251" t="str">
        <f>IF(ISNUMBER(VLOOKUP("3AC",'Cover Sheet'!$B$34:$AA$44,13,0)),(VLOOKUP("3AC",'Cover Sheet'!$B$34:$AA$44,3,0)),"")</f>
        <v/>
      </c>
      <c r="OC2" s="251" t="str">
        <f>IF(ISNUMBER(VLOOKUP("3AC",'Cover Sheet'!$B$34:$AA$44,13,0)),(VLOOKUP("3AC",'Cover Sheet'!$B$34:$AA$44,4,0)),"")</f>
        <v/>
      </c>
      <c r="OD2" s="251" t="str">
        <f>IF(ISNUMBER(VLOOKUP("3AC",'Cover Sheet'!$B$34:$AA$44,13,0)),(VLOOKUP("3AC",'Cover Sheet'!$B$34:$AA$44,5,0)),"")</f>
        <v/>
      </c>
      <c r="OE2" s="252" t="str">
        <f>IF(ISNUMBER(VLOOKUP("3AC",'Cover Sheet'!$B$34:$AA$44,13,0)),(VLOOKUP("3AC",'Cover Sheet'!$B$34:$AA$44,6,0)),"")</f>
        <v/>
      </c>
      <c r="OF2" s="251" t="str">
        <f>IF(ISNUMBER(VLOOKUP("3AC",'Cover Sheet'!$B$34:$AA$44,13,0)),(VLOOKUP("3AC",'Cover Sheet'!$B$34:$AA$44,7,0)),"")</f>
        <v/>
      </c>
      <c r="OG2" s="251" t="str">
        <f>IF(ISNUMBER(VLOOKUP("3AC",'Cover Sheet'!$B$34:$AA$44,13,0)),(VLOOKUP("3AC",'Cover Sheet'!$B$34:$AA$44,8,0)),"")</f>
        <v/>
      </c>
      <c r="OH2" s="253" t="str">
        <f>IF(ISNUMBER(VLOOKUP("3AC",'Cover Sheet'!$B$34:$AA$44,13,0)),(VLOOKUP("3AC",'Cover Sheet'!$B$34:$AA$44,9,0)),"")</f>
        <v/>
      </c>
      <c r="OI2" s="253" t="str">
        <f>IF(ISNUMBER(VLOOKUP("3AC",'Cover Sheet'!$B$34:$AA$44,13,0)),(VLOOKUP("3AC",'Cover Sheet'!$B$34:$AA$44,10,0)),"")</f>
        <v/>
      </c>
      <c r="OJ2" s="254" t="str">
        <f>IF(ISNUMBER(VLOOKUP("3AC",'Cover Sheet'!$B$34:$AA$44,13,0)),(VLOOKUP("3AC",'Cover Sheet'!$B$34:$AA$44,11,0)),"")</f>
        <v/>
      </c>
      <c r="OK2" s="254" t="str">
        <f>IF(ISNUMBER(VLOOKUP("3AC",'Cover Sheet'!$B$34:$AA$44,13,0)),(VLOOKUP("3AC",'Cover Sheet'!$B$34:$AA$44,13,0)),"")</f>
        <v/>
      </c>
      <c r="OL2" s="254" t="str">
        <f>IF(ISNUMBER(VLOOKUP("3AC",'Cover Sheet'!$B$34:$AA$44,13,0)),(VLOOKUP("3AC",'Cover Sheet'!$B$34:$AA$44,24,0)),"")</f>
        <v/>
      </c>
      <c r="OM2" s="254"/>
      <c r="ON2" s="255" t="str">
        <f>IF(ISNUMBER(VLOOKUP("XRF",'Cover Sheet'!$B$34:$AA$44,13,0)),(VLOOKUP("XRF",'Cover Sheet'!$B$34:$AA$44,2,0)),"")</f>
        <v/>
      </c>
      <c r="OO2" s="255" t="str">
        <f>IF(ISNUMBER(VLOOKUP("XRF",'Cover Sheet'!$B$34:$AA$44,13,0)),(VLOOKUP("XRF",'Cover Sheet'!$B$34:$AA$44,3,0)),"")</f>
        <v/>
      </c>
      <c r="OP2" s="255" t="str">
        <f>IF(ISNUMBER(VLOOKUP("XRF",'Cover Sheet'!$B$34:$AA$44,13,0)),(VLOOKUP("XRF",'Cover Sheet'!$B$34:$AA$44,4,0)),"")</f>
        <v/>
      </c>
      <c r="OQ2" s="255" t="str">
        <f>IF(ISNUMBER(VLOOKUP("XRF",'Cover Sheet'!$B$34:$AA$44,13,0)),(VLOOKUP("XRF",'Cover Sheet'!$B$34:$AA$44,5,0)),"")</f>
        <v/>
      </c>
      <c r="OR2" s="256" t="str">
        <f>IF(ISNUMBER(VLOOKUP("XRF",'Cover Sheet'!$B$34:$AA$44,13,0)),(VLOOKUP("XRF",'Cover Sheet'!$B$34:$AA$44,6,0)),"")</f>
        <v/>
      </c>
      <c r="OS2" s="255" t="str">
        <f>IF(ISNUMBER(VLOOKUP("XRF",'Cover Sheet'!$B$34:$AA$44,13,0)),(VLOOKUP("XRF",'Cover Sheet'!$B$34:$AA$44,7,0)),"")</f>
        <v/>
      </c>
      <c r="OT2" s="255" t="str">
        <f>IF(ISNUMBER(VLOOKUP("XRF",'Cover Sheet'!$B$34:$AA$44,13,0)),(VLOOKUP("XRF",'Cover Sheet'!$B$34:$AA$44,8,0)),"")</f>
        <v/>
      </c>
      <c r="OU2" s="257" t="str">
        <f>IF(ISNUMBER(VLOOKUP("XRF",'Cover Sheet'!$B$34:$AA$44,13,0)),(VLOOKUP("XRF",'Cover Sheet'!$B$34:$AA$44,9,0)),"")</f>
        <v/>
      </c>
      <c r="OV2" s="257" t="str">
        <f>IF(ISNUMBER(VLOOKUP("XRF",'Cover Sheet'!$B$34:$AA$44,13,0)),(VLOOKUP("XRF",'Cover Sheet'!$B$34:$AA$44,10,0)),"")</f>
        <v/>
      </c>
      <c r="OW2" s="258" t="str">
        <f>IF(ISNUMBER(VLOOKUP("XRF",'Cover Sheet'!$B$34:$AA$44,13,0)),(VLOOKUP("XRF",'Cover Sheet'!$B$34:$AA$44,11,0)),"")</f>
        <v/>
      </c>
      <c r="OX2" s="258" t="str">
        <f>IF(ISNUMBER(VLOOKUP("XRF",'Cover Sheet'!$B$34:$AA$44,13,0)),(VLOOKUP("XRF",'Cover Sheet'!$B$34:$AA$44,13,0)),"")</f>
        <v/>
      </c>
      <c r="OY2" s="258" t="str">
        <f>IF(ISNUMBER(VLOOKUP("XRF",'Cover Sheet'!$B$34:$AA$44,13,0)),(VLOOKUP("XRF",'Cover Sheet'!$B$34:$AA$44,24,0)),"")</f>
        <v/>
      </c>
      <c r="OZ2" s="254"/>
      <c r="PA2" s="251" t="str">
        <f>IF(ISNUMBER(VLOOKUP("GVGamma",'Cover Sheet'!$B$34:$AA$44,13,0)),(VLOOKUP("GVGamma",'Cover Sheet'!$B$34:$AA$44,2,0)),"")</f>
        <v/>
      </c>
      <c r="PB2" s="251" t="str">
        <f>IF(ISNUMBER(VLOOKUP("GVGamma",'Cover Sheet'!$B$34:$AA$44,13,0)),(VLOOKUP("GVGamma",'Cover Sheet'!$B$34:$AA$44,3,0)),"")</f>
        <v/>
      </c>
      <c r="PC2" s="251" t="str">
        <f>IF(ISNUMBER(VLOOKUP("GVGamma",'Cover Sheet'!$B$34:$AA$44,13,0)),(VLOOKUP("GVGamma",'Cover Sheet'!$B$34:$AA$44,4,0)),"")</f>
        <v/>
      </c>
      <c r="PD2" s="251" t="str">
        <f>IF(ISNUMBER(VLOOKUP("GVGamma",'Cover Sheet'!$B$34:$AA$44,13,0)),(VLOOKUP("GVGamma",'Cover Sheet'!$B$34:$AA$44,5,0)),"")</f>
        <v/>
      </c>
      <c r="PE2" s="252" t="str">
        <f>IF(ISNUMBER(VLOOKUP("GVGamma",'Cover Sheet'!$B$34:$AA$44,13,0)),(VLOOKUP("GVGamma",'Cover Sheet'!$B$34:$AA$44,6,0)),"")</f>
        <v/>
      </c>
      <c r="PF2" s="251" t="str">
        <f>IF(ISNUMBER(VLOOKUP("GVGamma",'Cover Sheet'!$B$34:$AA$44,13,0)),(VLOOKUP("GVGamma",'Cover Sheet'!$B$34:$AA$44,7,0)),"")</f>
        <v/>
      </c>
      <c r="PG2" s="251" t="str">
        <f>IF(ISNUMBER(VLOOKUP("GVGamma",'Cover Sheet'!$B$34:$AA$44,13,0)),(VLOOKUP("GVGamma",'Cover Sheet'!$B$34:$AA$44,8,0)),"")</f>
        <v/>
      </c>
      <c r="PH2" s="253" t="str">
        <f>IF(ISNUMBER(VLOOKUP("GVGamma",'Cover Sheet'!$B$34:$AA$44,13,0)),(VLOOKUP("GVGamma",'Cover Sheet'!$B$34:$AA$44,9,0)),"")</f>
        <v/>
      </c>
      <c r="PI2" s="253" t="str">
        <f>IF(ISNUMBER(VLOOKUP("GVGamma",'Cover Sheet'!$B$34:$AA$44,13,0)),(VLOOKUP("GVGamma",'Cover Sheet'!$B$34:$AA$44,10,0)),"")</f>
        <v/>
      </c>
      <c r="PJ2" s="254" t="str">
        <f>IF(ISNUMBER(VLOOKUP("GVGamma",'Cover Sheet'!$B$34:$AA$44,13,0)),(VLOOKUP("GVGamma",'Cover Sheet'!$B$34:$AA$44,11,0)),"")</f>
        <v/>
      </c>
      <c r="PK2" s="254" t="str">
        <f>IF(ISNUMBER(VLOOKUP("GVGamma",'Cover Sheet'!$B$34:$AA$44,13,0)),(VLOOKUP("GVGamma",'Cover Sheet'!$B$34:$AA$44,13,0)),"")</f>
        <v/>
      </c>
      <c r="PL2" s="254" t="str">
        <f>IF(ISNUMBER(VLOOKUP("GVGamma",'Cover Sheet'!$B$34:$AA$44,13,0)),(VLOOKUP("GVGamma",'Cover Sheet'!$B$34:$AA$44,24,0)),"")</f>
        <v/>
      </c>
      <c r="PM2" s="254"/>
      <c r="PN2" s="259" t="str">
        <f>IF(ISNUMBER(VLOOKUP("SpectralGamma",'Cover Sheet'!$B$34:$AA$44,13,0)),(VLOOKUP("SpectralGamma",'Cover Sheet'!$B$34:$AA$44,2,0)),"")</f>
        <v/>
      </c>
      <c r="PO2" s="259" t="str">
        <f>IF(ISNUMBER(VLOOKUP("SpectralGamma",'Cover Sheet'!$B$34:$AA$44,13,0)),(VLOOKUP("SpectralGamma",'Cover Sheet'!$B$34:$AA$44,3,0)),"")</f>
        <v/>
      </c>
      <c r="PP2" s="259" t="str">
        <f>IF(ISNUMBER(VLOOKUP("SpectralGamma",'Cover Sheet'!$B$34:$AA$44,13,0)),(VLOOKUP("SpectralGamma",'Cover Sheet'!$B$34:$AA$44,4,0)),"")</f>
        <v/>
      </c>
      <c r="PQ2" s="259" t="str">
        <f>IF(ISNUMBER(VLOOKUP("SpectralGamma",'Cover Sheet'!$B$34:$AA$44,13,0)),(VLOOKUP("SpectralGamma",'Cover Sheet'!$B$34:$AA$44,5,0)),"")</f>
        <v/>
      </c>
      <c r="PR2" s="260" t="str">
        <f>IF(ISNUMBER(VLOOKUP("SpectralGamma",'Cover Sheet'!$B$34:$AA$44,13,0)),(VLOOKUP("SpectralGamma",'Cover Sheet'!$B$34:$AA$44,6,0)),"")</f>
        <v/>
      </c>
      <c r="PS2" s="259" t="str">
        <f>IF(ISNUMBER(VLOOKUP("SpectralGamma",'Cover Sheet'!$B$34:$AA$44,13,0)),(VLOOKUP("SpectralGamma",'Cover Sheet'!$B$34:$AA$44,7,0)),"")</f>
        <v/>
      </c>
      <c r="PT2" s="259" t="str">
        <f>IF(ISNUMBER(VLOOKUP("SpectralGamma",'Cover Sheet'!$B$34:$AA$44,13,0)),(VLOOKUP("SpectralGamma",'Cover Sheet'!$B$34:$AA$44,8,0)),"")</f>
        <v/>
      </c>
      <c r="PU2" s="261" t="str">
        <f>IF(ISNUMBER(VLOOKUP("SpectralGamma",'Cover Sheet'!$B$34:$AA$44,13,0)),(VLOOKUP("SpectralGamma",'Cover Sheet'!$B$34:$AA$44,9,0)),"")</f>
        <v/>
      </c>
      <c r="PV2" s="261" t="str">
        <f>IF(ISNUMBER(VLOOKUP("SpectralGamma",'Cover Sheet'!$B$34:$AA$44,13,0)),(VLOOKUP("SpectralGamma",'Cover Sheet'!$B$34:$AA$44,10,0)),"")</f>
        <v/>
      </c>
      <c r="PW2" s="262" t="str">
        <f>IF(ISNUMBER(VLOOKUP("SpectralGamma",'Cover Sheet'!$B$34:$AA$44,13,0)),(VLOOKUP("SpectralGamma",'Cover Sheet'!$B$34:$AA$44,11,0)),"")</f>
        <v/>
      </c>
      <c r="PX2" s="262" t="str">
        <f>IF(ISNUMBER(VLOOKUP("SpectralGamma",'Cover Sheet'!$B$34:$AA$44,13,0)),(VLOOKUP("SpectralGamma",'Cover Sheet'!$B$34:$AA$44,13,0)),"")</f>
        <v/>
      </c>
      <c r="PY2" s="262" t="str">
        <f>IF(ISNUMBER(VLOOKUP("SpectralGamma",'Cover Sheet'!$B$34:$AA$44,13,0)),(VLOOKUP("SpectralGamma",'Cover Sheet'!$B$34:$AA$44,24,0)),"")</f>
        <v/>
      </c>
      <c r="PZ2" s="254"/>
      <c r="QA2" s="263" t="str">
        <f>IF(ISNUMBER(VLOOKUP("IP",'Cover Sheet'!$B$34:$AA$44,13,0)),(VLOOKUP("IP",'Cover Sheet'!$B$34:$AA$44,2,0)),"")</f>
        <v/>
      </c>
      <c r="QB2" s="263" t="str">
        <f>IF(ISNUMBER(VLOOKUP("IP",'Cover Sheet'!$B$34:$AA$44,13,0)),(VLOOKUP("IP",'Cover Sheet'!$B$34:$AA$44,3,0)),"")</f>
        <v/>
      </c>
      <c r="QC2" s="263" t="str">
        <f>IF(ISNUMBER(VLOOKUP("IP",'Cover Sheet'!$B$34:$AA$44,13,0)),(VLOOKUP("IP",'Cover Sheet'!$B$34:$AA$44,4,0)),"")</f>
        <v/>
      </c>
      <c r="QD2" s="263" t="str">
        <f>IF(ISNUMBER(VLOOKUP("IP",'Cover Sheet'!$B$34:$AA$44,13,0)),(VLOOKUP("IP",'Cover Sheet'!$B$34:$AA$44,5,0)),"")</f>
        <v/>
      </c>
      <c r="QE2" s="264" t="str">
        <f>IF(ISNUMBER(VLOOKUP("IP",'Cover Sheet'!$B$34:$AA$44,13,0)),(VLOOKUP("IP",'Cover Sheet'!$B$34:$AA$44,6,0)),"")</f>
        <v/>
      </c>
      <c r="QF2" s="263" t="str">
        <f>IF(ISNUMBER(VLOOKUP("IP",'Cover Sheet'!$B$34:$AA$44,13,0)),(VLOOKUP("IP",'Cover Sheet'!$B$34:$AA$44,7,0)),"")</f>
        <v/>
      </c>
      <c r="QG2" s="263" t="str">
        <f>IF(ISNUMBER(VLOOKUP("IP",'Cover Sheet'!$B$34:$AA$44,13,0)),(VLOOKUP("IP",'Cover Sheet'!$B$34:$AA$44,8,0)),"")</f>
        <v/>
      </c>
      <c r="QH2" s="265" t="str">
        <f>IF(ISNUMBER(VLOOKUP("IP",'Cover Sheet'!$B$34:$AA$44,13,0)),(VLOOKUP("IP",'Cover Sheet'!$B$34:$AA$44,9,0)),"")</f>
        <v/>
      </c>
      <c r="QI2" s="265" t="str">
        <f>IF(ISNUMBER(VLOOKUP("IP",'Cover Sheet'!$B$34:$AA$44,13,0)),(VLOOKUP("IP",'Cover Sheet'!$B$34:$AA$44,10,0)),"")</f>
        <v/>
      </c>
      <c r="QJ2" s="266" t="str">
        <f>IF(ISNUMBER(VLOOKUP("IP",'Cover Sheet'!$B$34:$AA$44,13,0)),(VLOOKUP("IP",'Cover Sheet'!$B$34:$AA$44,11,0)),"")</f>
        <v/>
      </c>
      <c r="QK2" s="266" t="str">
        <f>IF(ISNUMBER(VLOOKUP("IP",'Cover Sheet'!$B$34:$AA$44,13,0)),(VLOOKUP("IP",'Cover Sheet'!$B$34:$AA$44,13,0)),"")</f>
        <v/>
      </c>
      <c r="QL2" s="266" t="str">
        <f>IF(ISNUMBER(VLOOKUP("IP",'Cover Sheet'!$B$34:$AA$44,13,0)),(VLOOKUP("IP",'Cover Sheet'!$B$34:$AA$44,24,0)),"")</f>
        <v/>
      </c>
      <c r="QM2" s="254"/>
      <c r="QN2" s="267" t="str">
        <f>IF(ISNUMBER(VLOOKUP("IRD",'Cover Sheet'!$B$34:$AA$44,13,0)),(VLOOKUP("IRD",'Cover Sheet'!$B$34:$AA$44,2,0)),"")</f>
        <v/>
      </c>
      <c r="QO2" s="267" t="str">
        <f>IF(ISNUMBER(VLOOKUP("IRD",'Cover Sheet'!$B$34:$AA$44,13,0)),(VLOOKUP("IRD",'Cover Sheet'!$B$34:$AA$44,3,0)),"")</f>
        <v/>
      </c>
      <c r="QP2" s="267" t="str">
        <f>IF(ISNUMBER(VLOOKUP("IRD",'Cover Sheet'!$B$34:$AA$44,13,0)),(VLOOKUP("IRD",'Cover Sheet'!$B$34:$AA$44,4,0)),"")</f>
        <v/>
      </c>
      <c r="QQ2" s="267" t="str">
        <f>IF(ISNUMBER(VLOOKUP("IRD",'Cover Sheet'!$B$34:$AA$44,13,0)),(VLOOKUP("IRD",'Cover Sheet'!$B$34:$AA$44,5,0)),"")</f>
        <v/>
      </c>
      <c r="QR2" s="268" t="str">
        <f>IF(ISNUMBER(VLOOKUP("IRD",'Cover Sheet'!$B$34:$AA$44,13,0)),(VLOOKUP("IRD",'Cover Sheet'!$B$34:$AA$44,6,0)),"")</f>
        <v/>
      </c>
      <c r="QS2" s="267" t="str">
        <f>IF(ISNUMBER(VLOOKUP("IRD",'Cover Sheet'!$B$34:$AA$44,13,0)),(VLOOKUP("IRD",'Cover Sheet'!$B$34:$AA$44,7,0)),"")</f>
        <v/>
      </c>
      <c r="QT2" s="267" t="str">
        <f>IF(ISNUMBER(VLOOKUP("IRD",'Cover Sheet'!$B$34:$AA$44,13,0)),(VLOOKUP("IRD",'Cover Sheet'!$B$34:$AA$44,8,0)),"")</f>
        <v/>
      </c>
      <c r="QU2" s="269" t="str">
        <f>IF(ISNUMBER(VLOOKUP("IRD",'Cover Sheet'!$B$34:$AA$44,13,0)),(VLOOKUP("IRD",'Cover Sheet'!$B$34:$AA$44,9,0)),"")</f>
        <v/>
      </c>
      <c r="QV2" s="269" t="str">
        <f>IF(ISNUMBER(VLOOKUP("IRD",'Cover Sheet'!$B$34:$AA$44,13,0)),(VLOOKUP("IRD",'Cover Sheet'!$B$34:$AA$44,10,0)),"")</f>
        <v/>
      </c>
      <c r="QW2" s="270" t="str">
        <f>IF(ISNUMBER(VLOOKUP("IRD",'Cover Sheet'!$B$34:$AA$44,13,0)),(VLOOKUP("IRD",'Cover Sheet'!$B$34:$AA$44,11,0)),"")</f>
        <v/>
      </c>
      <c r="QX2" s="270" t="str">
        <f>IF(ISNUMBER(VLOOKUP("IRD",'Cover Sheet'!$B$34:$AA$44,13,0)),(VLOOKUP("IRD",'Cover Sheet'!$B$34:$AA$44,13,0)),"")</f>
        <v/>
      </c>
      <c r="QY2" s="270" t="str">
        <f>IF(ISNUMBER(VLOOKUP("IRD",'Cover Sheet'!$B$34:$AA$44,13,0)),(VLOOKUP("IRD",'Cover Sheet'!$B$34:$AA$44,24,0)),"")</f>
        <v/>
      </c>
      <c r="QZ2" s="254"/>
      <c r="RA2" s="271" t="str">
        <f>IF(ISNUMBER(VLOOKUP("NMR",'Cover Sheet'!$B$34:$AA$44,13,0)),(VLOOKUP("NMR",'Cover Sheet'!$B$34:$AA$44,2,0)),"")</f>
        <v/>
      </c>
      <c r="RB2" s="271" t="str">
        <f>IF(ISNUMBER(VLOOKUP("NMR",'Cover Sheet'!$B$34:$AA$44,13,0)),(VLOOKUP("NMR",'Cover Sheet'!$B$34:$AA$44,3,0)),"")</f>
        <v/>
      </c>
      <c r="RC2" s="271" t="str">
        <f>IF(ISNUMBER(VLOOKUP("NMR",'Cover Sheet'!$B$34:$AA$44,13,0)),(VLOOKUP("NMR",'Cover Sheet'!$B$34:$AA$44,4,0)),"")</f>
        <v/>
      </c>
      <c r="RD2" s="271" t="str">
        <f>IF(ISNUMBER(VLOOKUP("NMR",'Cover Sheet'!$B$34:$AA$44,13,0)),(VLOOKUP("NMR",'Cover Sheet'!$B$34:$AA$44,5,0)),"")</f>
        <v/>
      </c>
      <c r="RE2" s="272" t="str">
        <f>IF(ISNUMBER(VLOOKUP("NMR",'Cover Sheet'!$B$34:$AA$44,13,0)),(VLOOKUP("NMR",'Cover Sheet'!$B$34:$AA$44,6,0)),"")</f>
        <v/>
      </c>
      <c r="RF2" s="271" t="str">
        <f>IF(ISNUMBER(VLOOKUP("NMR",'Cover Sheet'!$B$34:$AA$44,13,0)),(VLOOKUP("NMR",'Cover Sheet'!$B$34:$AA$44,7,0)),"")</f>
        <v/>
      </c>
      <c r="RG2" s="271" t="str">
        <f>IF(ISNUMBER(VLOOKUP("NMR",'Cover Sheet'!$B$34:$AA$44,13,0)),(VLOOKUP("NMR",'Cover Sheet'!$B$34:$AA$44,8,0)),"")</f>
        <v/>
      </c>
      <c r="RH2" s="273" t="str">
        <f>IF(ISNUMBER(VLOOKUP("NMR",'Cover Sheet'!$B$34:$AA$44,13,0)),(VLOOKUP("NMR",'Cover Sheet'!$B$34:$AA$44,9,0)),"")</f>
        <v/>
      </c>
      <c r="RI2" s="273" t="str">
        <f>IF(ISNUMBER(VLOOKUP("NMR",'Cover Sheet'!$B$34:$AA$44,13,0)),(VLOOKUP("NMR",'Cover Sheet'!$B$34:$AA$44,10,0)),"")</f>
        <v/>
      </c>
      <c r="RJ2" s="274" t="str">
        <f>IF(ISNUMBER(VLOOKUP("NMR",'Cover Sheet'!$B$34:$AA$44,13,0)),(VLOOKUP("NMR",'Cover Sheet'!$B$34:$AA$44,11,0)),"")</f>
        <v/>
      </c>
      <c r="RK2" s="274" t="str">
        <f>IF(ISNUMBER(VLOOKUP("NMR",'Cover Sheet'!$B$34:$AA$44,13,0)),(VLOOKUP("NMR",'Cover Sheet'!$B$34:$AA$44,13,0)),"")</f>
        <v/>
      </c>
      <c r="RL2" s="274" t="str">
        <f>IF(ISNUMBER(VLOOKUP("NMR",'Cover Sheet'!$B$34:$AA$44,13,0)),(VLOOKUP("NMR",'Cover Sheet'!$B$34:$AA$44,24,0)),"")</f>
        <v/>
      </c>
      <c r="RM2" s="254"/>
      <c r="RN2" s="275" t="str">
        <f>IF(ISNUMBER(VLOOKUP("FLOW",'Cover Sheet'!$B$34:$AA$44,13,0)),(VLOOKUP("FLOW",'Cover Sheet'!$B$34:$AA$44,2,0)),"")</f>
        <v/>
      </c>
      <c r="RO2" s="275" t="str">
        <f>IF(ISNUMBER(VLOOKUP("FLOW",'Cover Sheet'!$B$34:$AA$44,13,0)),(VLOOKUP("FLOW",'Cover Sheet'!$B$34:$AA$44,3,0)),"")</f>
        <v/>
      </c>
      <c r="RP2" s="275" t="str">
        <f>IF(ISNUMBER(VLOOKUP("FLOW",'Cover Sheet'!$B$34:$AA$44,13,0)),(VLOOKUP("FLOW",'Cover Sheet'!$B$34:$AA$44,4,0)),"")</f>
        <v/>
      </c>
      <c r="RQ2" s="275" t="str">
        <f>IF(ISNUMBER(VLOOKUP("FLOW",'Cover Sheet'!$B$34:$AA$44,13,0)),(VLOOKUP("FLOW",'Cover Sheet'!$B$34:$AA$44,5,0)),"")</f>
        <v/>
      </c>
      <c r="RR2" s="276" t="str">
        <f>IF(ISNUMBER(VLOOKUP("FLOW",'Cover Sheet'!$B$34:$AA$44,13,0)),(VLOOKUP("FLOW",'Cover Sheet'!$B$34:$AA$44,6,0)),"")</f>
        <v/>
      </c>
      <c r="RS2" s="275" t="str">
        <f>IF(ISNUMBER(VLOOKUP("FLOW",'Cover Sheet'!$B$34:$AA$44,13,0)),(VLOOKUP("FLOW",'Cover Sheet'!$B$34:$AA$44,7,0)),"")</f>
        <v/>
      </c>
      <c r="RT2" s="275" t="str">
        <f>IF(ISNUMBER(VLOOKUP("FLOW",'Cover Sheet'!$B$34:$AA$44,13,0)),(VLOOKUP("FLOW",'Cover Sheet'!$B$34:$AA$44,8,0)),"")</f>
        <v/>
      </c>
      <c r="RU2" s="277" t="str">
        <f>IF(ISNUMBER(VLOOKUP("FLOW",'Cover Sheet'!$B$34:$AA$44,13,0)),(VLOOKUP("FLOW",'Cover Sheet'!$B$34:$AA$44,9,0)),"")</f>
        <v/>
      </c>
      <c r="RV2" s="277" t="str">
        <f>IF(ISNUMBER(VLOOKUP("FLOW",'Cover Sheet'!$B$34:$AA$44,13,0)),(VLOOKUP("FLOW",'Cover Sheet'!$B$34:$AA$44,10,0)),"")</f>
        <v/>
      </c>
      <c r="RW2" s="278" t="str">
        <f>IF(ISNUMBER(VLOOKUP("FLOW",'Cover Sheet'!$B$34:$AA$44,13,0)),(VLOOKUP("FLOW",'Cover Sheet'!$B$34:$AA$44,11,0)),"")</f>
        <v/>
      </c>
      <c r="RX2" s="278" t="str">
        <f>IF(ISNUMBER(VLOOKUP("FLOW",'Cover Sheet'!$B$34:$AA$44,13,0)),(VLOOKUP("FLOW",'Cover Sheet'!$B$34:$AA$44,13,0)),"")</f>
        <v/>
      </c>
      <c r="RY2" s="278" t="str">
        <f>IF(ISNUMBER(VLOOKUP("FLOW",'Cover Sheet'!$B$34:$AA$44,13,0)),(VLOOKUP("FLOW",'Cover Sheet'!$B$34:$AA$44,24,0)),"")</f>
        <v/>
      </c>
      <c r="RZ2" s="254"/>
      <c r="SA2" s="267" t="str">
        <f>IF(ISNUMBER(VLOOKUP("DHEM",'Cover Sheet'!$B$34:$AA$44,13,0)),(VLOOKUP("DHEM",'Cover Sheet'!$B$34:$AA$44,2,0)),"")</f>
        <v/>
      </c>
      <c r="SB2" s="267" t="str">
        <f>IF(ISNUMBER(VLOOKUP("DHEM",'Cover Sheet'!$B$34:$AA$44,13,0)),(VLOOKUP("DHEM",'Cover Sheet'!$B$34:$AA$44,3,0)),"")</f>
        <v/>
      </c>
      <c r="SC2" s="267" t="str">
        <f>IF(ISNUMBER(VLOOKUP("DHEM",'Cover Sheet'!$B$34:$AA$44,13,0)),(VLOOKUP("DHEM",'Cover Sheet'!$B$34:$AA$44,4,0)),"")</f>
        <v/>
      </c>
      <c r="SD2" s="267" t="str">
        <f>IF(ISNUMBER(VLOOKUP("DHEM",'Cover Sheet'!$B$34:$AA$44,13,0)),(VLOOKUP("DHEM",'Cover Sheet'!$B$34:$AA$44,5,0)),"")</f>
        <v/>
      </c>
      <c r="SE2" s="268" t="str">
        <f>IF(ISNUMBER(VLOOKUP("DHEM",'Cover Sheet'!$B$34:$AA$44,13,0)),(VLOOKUP("DHEM",'Cover Sheet'!$B$34:$AA$44,6,0)),"")</f>
        <v/>
      </c>
      <c r="SF2" s="267" t="str">
        <f>IF(ISNUMBER(VLOOKUP("DHEM",'Cover Sheet'!$B$34:$AA$44,13,0)),(VLOOKUP("DHEM",'Cover Sheet'!$B$34:$AA$44,7,0)),"")</f>
        <v/>
      </c>
      <c r="SG2" s="267" t="str">
        <f>IF(ISNUMBER(VLOOKUP("DHEM",'Cover Sheet'!$B$34:$AA$44,13,0)),(VLOOKUP("DHEM",'Cover Sheet'!$B$34:$AA$44,8,0)),"")</f>
        <v/>
      </c>
      <c r="SH2" s="269" t="str">
        <f>IF(ISNUMBER(VLOOKUP("DHEM",'Cover Sheet'!$B$34:$AA$44,13,0)),(VLOOKUP("DHEM",'Cover Sheet'!$B$34:$AA$44,9,0)),"")</f>
        <v/>
      </c>
      <c r="SI2" s="269" t="str">
        <f>IF(ISNUMBER(VLOOKUP("DHEM",'Cover Sheet'!$B$34:$AA$44,13,0)),(VLOOKUP("DHEM",'Cover Sheet'!$B$34:$AA$44,10,0)),"")</f>
        <v/>
      </c>
      <c r="SJ2" s="270" t="str">
        <f>IF(ISNUMBER(VLOOKUP("DHEM",'Cover Sheet'!$B$34:$AA$44,13,0)),(VLOOKUP("DHEM",'Cover Sheet'!$B$34:$AA$44,11,0)),"")</f>
        <v/>
      </c>
      <c r="SK2" s="270" t="str">
        <f>IF(ISNUMBER(VLOOKUP("DHEM",'Cover Sheet'!$B$34:$AA$44,13,0)),(VLOOKUP("DHEM",'Cover Sheet'!$B$34:$AA$44,13,0)),"")</f>
        <v/>
      </c>
      <c r="SL2" s="270" t="str">
        <f>IF(ISNUMBER(VLOOKUP("DHEM",'Cover Sheet'!$B$34:$AA$44,13,0)),(VLOOKUP("DHEM",'Cover Sheet'!$B$34:$AA$44,24,0)),"")</f>
        <v/>
      </c>
      <c r="SM2" s="254"/>
      <c r="SN2" s="279">
        <f>IF(LA2="",IF(LN2="","",LN2),IF(LN2="",LA2,LA2 &amp; " - " &amp; LN2))</f>
        <v>1118</v>
      </c>
      <c r="SO2" s="279" t="str">
        <f>IF(LB2="",IF(LO2="","",LO2),IF(LO2="",LB2,LB2 &amp; " - " &amp; LO2))</f>
        <v>-</v>
      </c>
      <c r="SP2" s="279" t="str">
        <f>IF(LC2="",IF(LP2="","",LP2),LC2)</f>
        <v>Open Hole</v>
      </c>
      <c r="SQ2" s="279" t="str">
        <f>IF(LD2="",IF(LQ2="","",LQ2),LD2)</f>
        <v>N</v>
      </c>
      <c r="SR2" s="280">
        <f>IF(LE2="",IF(LR2="","",LR2),IF(LR2="",LE2,MIN(LE2,LR2)))</f>
        <v>46102</v>
      </c>
      <c r="SS2" s="279" t="str">
        <f>IF(LF2="",IF(LS2="","",LS2),IF(LS2="",LF2,LF2 &amp;"-"&amp;LS2))</f>
        <v>TJJ</v>
      </c>
      <c r="ST2" s="279">
        <f>IF(LG2="",IF(LT2="","",LT2),IF(LT2="",LG2,LG2 &amp;"-"&amp;LT2))</f>
        <v>2107</v>
      </c>
      <c r="SU2" s="280">
        <f>IF(LH2="",IF(LU2="","",LU2),IF(LU2="",LH2,MIN(LH2,LU2)))</f>
        <v>0.5</v>
      </c>
      <c r="SV2" s="280">
        <f>IF(LI2="",IF(LV2="","",LV2),IF(LV2="",LI2,MAX(LI2,LV2)))</f>
        <v>0.52083333333333337</v>
      </c>
      <c r="SW2" s="280">
        <f>IF(LJ2="",IF(LW2="","",LW2),IF(LW2="",LJ2,MIN(LJ2,LW2)))</f>
        <v>0</v>
      </c>
      <c r="SX2" s="280">
        <f>IF(LK2="",IF(LX2="","",LX2),IF(LX2="",LK2,MAX(LK2,LX2)))</f>
        <v>34.4</v>
      </c>
      <c r="SY2" s="280">
        <f>IF(LL2="",IF(LY2="","",LY2),IF(LY2="",LL2,MIN(LL2,LY2)))</f>
        <v>0</v>
      </c>
      <c r="SZ2" s="254"/>
      <c r="TA2" t="str">
        <f>'Cover Sheet'!D3</f>
        <v>RTIO BROCKMAN</v>
      </c>
      <c r="TB2" s="281">
        <f>'Cover Sheet'!L16</f>
        <v>0</v>
      </c>
      <c r="TC2" s="281">
        <f>'Cover Sheet'!L17</f>
        <v>0</v>
      </c>
      <c r="TD2" t="str">
        <f>'Cover Sheet'!J15</f>
        <v>50s</v>
      </c>
      <c r="TE2" s="267">
        <f>IF(ISTEXT(VLOOKUP("Dummy",'Cover Sheet'!$B$34:$AA$44,1,0)),(VLOOKUP("Dummy",'Cover Sheet'!$B$34:$AA$44,2,0)),"")</f>
        <v>0</v>
      </c>
      <c r="TF2" s="267" t="str">
        <f>IF(ISTEXT(VLOOKUP("Dummy",'Cover Sheet'!$B$34:$AA$44,1,0)),(VLOOKUP("Dummy",'Cover Sheet'!$B$34:$AA$44,4,0)),"")</f>
        <v>Open Hole</v>
      </c>
      <c r="TG2" s="267" t="str">
        <f>IF(ISTEXT(VLOOKUP("Dummy",'Cover Sheet'!$B$34:$AA$44,1,0)),(VLOOKUP("Dummy",'Cover Sheet'!$B$34:$AA$44,5,0)),"")</f>
        <v>N</v>
      </c>
      <c r="TH2" s="268">
        <f>IF(ISTEXT(VLOOKUP("Dummy",'Cover Sheet'!$B$34:$AA$44,1,0)),(VLOOKUP("Dummy",'Cover Sheet'!$B$34:$AA$44,6,0)),"")</f>
        <v>46102</v>
      </c>
      <c r="TI2" s="267" t="str">
        <f>IF(ISTEXT(VLOOKUP("Dummy",'Cover Sheet'!$B$34:$AA$44,1,0)),(VLOOKUP("Dummy",'Cover Sheet'!$B$34:$AA$44,7,0)),"")</f>
        <v>TJJ</v>
      </c>
      <c r="TJ2" s="267">
        <f>IF(ISTEXT(VLOOKUP("Dummy",'Cover Sheet'!$B$34:$AA$44,1,0)),(VLOOKUP("Dummy",'Cover Sheet'!$B$34:$AA$44,8,0)),"")</f>
        <v>2107</v>
      </c>
      <c r="TK2" s="269">
        <f>IF(ISTEXT(VLOOKUP("Dummy",'Cover Sheet'!$B$34:$AA$44,1,0)),(VLOOKUP("Dummy",'Cover Sheet'!$B$34:$AA$44,9,0)),"")</f>
        <v>0.4375</v>
      </c>
      <c r="TL2" s="269">
        <f>IF(ISTEXT(VLOOKUP("Dummy",'Cover Sheet'!$B$34:$AA$44,1,0)),(VLOOKUP("Dummy",'Cover Sheet'!$B$34:$AA$44,10,0)),"")</f>
        <v>0.45833333333333331</v>
      </c>
      <c r="TM2" s="270">
        <f>IF(ISTEXT(VLOOKUP("Dummy",'Cover Sheet'!$B$34:$AA$44,1,0)),(VLOOKUP("Dummy",'Cover Sheet'!$B$34:$AA$44,11,0)),"")</f>
        <v>0</v>
      </c>
      <c r="TN2" s="270">
        <f>IF(ISTEXT(VLOOKUP("Dummy",'Cover Sheet'!$B$34:$AA$44,1,0)),(VLOOKUP("Dummy",'Cover Sheet'!$B$34:$AA$44,13,0)),"")</f>
        <v>35.4</v>
      </c>
      <c r="TO2" s="267" t="str">
        <f>IF(ISTEXT(VLOOKUP("DGPS",'Cover Sheet'!$B$34:$AA$44,1,0)),(VLOOKUP("DGPS",'Cover Sheet'!$B$34:$AA$44,2,0)),"")</f>
        <v>5843S10542</v>
      </c>
      <c r="TP2" s="267" t="str">
        <f>IF(ISTEXT(VLOOKUP("DGPS",'Cover Sheet'!$B$34:$AA$44,1,0)),(VLOOKUP("DGPS",'Cover Sheet'!$B$34:$AA$44,4,0)),"")</f>
        <v>Open Hole</v>
      </c>
      <c r="TQ2" s="268">
        <f>IF(ISTEXT(VLOOKUP("DGPS",'Cover Sheet'!$B$34:$AA$44,1,0)),(VLOOKUP("DGPS",'Cover Sheet'!$B$34:$AA$44,6,0)),"")</f>
        <v>46102</v>
      </c>
      <c r="TR2" s="267" t="str">
        <f>IF(ISTEXT(VLOOKUP("DGPS",'Cover Sheet'!$B$34:$AA$44,1,0)),(VLOOKUP("DGPS",'Cover Sheet'!$B$34:$AA$44,7,0)),"")</f>
        <v>TJJ</v>
      </c>
      <c r="TS2" s="267">
        <f>IF(ISTEXT(VLOOKUP("DGPS",'Cover Sheet'!$B$34:$AA$44,1,0)),(VLOOKUP("DGPS",'Cover Sheet'!$B$34:$AA$44,8,0)),"")</f>
        <v>2107</v>
      </c>
      <c r="TT2" s="269">
        <f>IF(ISTEXT(VLOOKUP("DGPS",'Cover Sheet'!$B$34:$AA$44,1,0)),(VLOOKUP("DGPS",'Cover Sheet'!$B$34:$AA$44,9,0)),"")</f>
        <v>0.52083333333333337</v>
      </c>
      <c r="TU2" s="269">
        <f>IF(ISTEXT(VLOOKUP("DGPS",'Cover Sheet'!$B$34:$AA$44,1,0)),(VLOOKUP("DGPS",'Cover Sheet'!$B$34:$AA$44,10,0)),"")</f>
        <v>0.54166666666666663</v>
      </c>
      <c r="TV2" s="282">
        <f>'Cover Sheet'!AC59</f>
        <v>7180</v>
      </c>
      <c r="TW2" s="282">
        <f>'Cover Sheet'!AD59</f>
        <v>2700</v>
      </c>
      <c r="TX2" s="282">
        <f>'Cover Sheet'!AC60</f>
        <v>0</v>
      </c>
      <c r="TY2" s="282">
        <f>'Cover Sheet'!AD60</f>
        <v>0</v>
      </c>
      <c r="TZ2" s="282">
        <f>'Cover Sheet'!AC61</f>
        <v>0</v>
      </c>
      <c r="UA2" s="282">
        <f>'Cover Sheet'!AD61</f>
        <v>0</v>
      </c>
      <c r="UB2" s="282">
        <f>'Cover Sheet'!AC62</f>
        <v>0</v>
      </c>
      <c r="UC2" s="282">
        <f>'Cover Sheet'!AD62</f>
        <v>0</v>
      </c>
      <c r="UD2" s="283">
        <f>'Cover Sheet'!AA56</f>
        <v>0.12334000000000001</v>
      </c>
    </row>
  </sheetData>
  <pageMargins left="0.75" right="0.75" top="1" bottom="1" header="0.51180555555555496" footer="0.51180555555555496"/>
  <pageSetup paperSize="66" firstPageNumber="0" orientation="portrait" horizontalDpi="144" verticalDpi="14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Data for Monthly Spreadsheet</vt:lpstr>
      <vt:lpstr>All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Tinitiko Orchard-Marsters</dc:creator>
  <cp:lastModifiedBy>Tinitiko Orchard-Marsters</cp:lastModifiedBy>
  <dcterms:created xsi:type="dcterms:W3CDTF">2026-03-21T07:00:29Z</dcterms:created>
  <dcterms:modified xsi:type="dcterms:W3CDTF">2026-03-21T07:14:38Z</dcterms:modified>
</cp:coreProperties>
</file>